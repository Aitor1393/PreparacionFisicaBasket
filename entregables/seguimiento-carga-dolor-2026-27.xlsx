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Jugadores" sheetId="2" state="visible" r:id="rId4"/>
    <sheet name="Registro" sheetId="3" state="visible" r:id="rId5"/>
    <sheet name="Panel dolor" sheetId="4" state="visible" r:id="rId6"/>
    <sheet name="Panel carga" sheetId="5" state="visible" r:id="rId7"/>
  </sheets>
  <definedNames>
    <definedName function="false" hidden="true" localSheetId="2" name="_xlnm._FilterDatabase" vbProcedure="false">Registro!$A$4:$Q$550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<sst xmlns="http://schemas.openxmlformats.org/spreadsheetml/2006/main" count="1250" uniqueCount="116">
  <si>
    <t xml:space="preserve">SEGUIMIENTO DE CARGA Y DOLOR</t>
  </si>
  <si>
    <t xml:space="preserve">Cadete Masculino · Temporada 2026/2027 · 39 microciclos</t>
  </si>
  <si>
    <t xml:space="preserve">Qué se registra</t>
  </si>
  <si>
    <t xml:space="preserve">Percepción de esfuerzo (RPE) después de cada sesión, escala 0-10. Se pregunta al acabar, no durante.</t>
  </si>
  <si>
    <t xml:space="preserve">Dolor en rodilla, talón y espalda, escala 0-10, una vez por semana. Basta preguntarlo el lunes.</t>
  </si>
  <si>
    <t xml:space="preserve">Talla, cada dos meses, en la hoja Jugadores.</t>
  </si>
  <si>
    <t xml:space="preserve">Salto vertical (CMJ), cada dos o tres semanas, tres intentos el lunes. Se anota el mejor en la hoja Registro. Un descenso mantenido respecto a la media del jugador indica fatiga acumulada.</t>
  </si>
  <si>
    <t xml:space="preserve">Bienestar: sueño, fatiga, agujetas y ánimo, escala 1-5, los lunes. Se anota la suma.</t>
  </si>
  <si>
    <t xml:space="preserve">Hojas del libro</t>
  </si>
  <si>
    <t xml:space="preserve">Jugadores — Escribe aquí los nombres. Se propagan solos al resto de hojas. Debajo, las siete mediciones de talla y el crecimiento entre ellas.</t>
  </si>
  <si>
    <t xml:space="preserve">Registro — Es la única hoja donde se escriben datos de sesión. Una fila por jugador y semana. Rellena solo las celdas amarillas.</t>
  </si>
  <si>
    <t xml:space="preserve">Panel dolor — Mapa de calor del dolor máximo de cada jugador semana a semana. Se rellena solo.</t>
  </si>
  <si>
    <t xml:space="preserve">Panel carga — Carga percibida semanal frente a la carga planificada del microciclo. Se rellena solo.</t>
  </si>
  <si>
    <t xml:space="preserve">Cómo se calcula la carga semanal</t>
  </si>
  <si>
    <t xml:space="preserve">RPE del lunes × 55 minutos, más RPE del miércoles × 50, más RPE del viernes × 50. Es la carga percibida del trabajo físico, sin contar la pista ni el partido. Sirve para comparar semanas entre sí y para comparar jugadores, no como valor absoluto.</t>
  </si>
  <si>
    <t xml:space="preserve">Protocolo de dolor</t>
  </si>
  <si>
    <t xml:space="preserve">0 a 3 — Sesión normal.</t>
  </si>
  <si>
    <t xml:space="preserve">4 a 6 — Fuera la pliometría del lunes. Se sustituye por sentadilla española 5×45" y el resto de la sesión igual. El jugador entrena y juega con normalidad.</t>
  </si>
  <si>
    <t xml:space="preserve">7 o más — Fuera pliometría y velocidad alta. Solo isométricos, movilidad y tren superior. Valoración médica.</t>
  </si>
  <si>
    <t xml:space="preserve">La columna Actuación de la hoja Registro aplica esta regla automáticamente.</t>
  </si>
  <si>
    <t xml:space="preserve">Crecimiento</t>
  </si>
  <si>
    <t xml:space="preserve">Quien crezca más de 1,2 cm entre dos mediciones de dos meses va con la mitad de contactos de pliometría durante las dos semanas siguientes. Ese ritmo equivale a 7,2 cm al año, umbral por encima del cual se ha descrito mayor probabilidad de lesión. La hoja Jugadores lo marca sola.</t>
  </si>
  <si>
    <t xml:space="preserve">Celdas amarillas: para rellenar. Celdas blancas o grises: calculadas, no tocar.</t>
  </si>
  <si>
    <t xml:space="preserve">PLANTILLA Y CONTROL DE CRECIMIENTO</t>
  </si>
  <si>
    <t xml:space="preserve">Escribe los nombres en la columna B. Las tallas van en centímetros.</t>
  </si>
  <si>
    <t xml:space="preserve">#</t>
  </si>
  <si>
    <t xml:space="preserve">Jugador</t>
  </si>
  <si>
    <t xml:space="preserve">Año nac.</t>
  </si>
  <si>
    <t xml:space="preserve">Puesto</t>
  </si>
  <si>
    <t xml:space="preserve">Talla 7 sep</t>
  </si>
  <si>
    <t xml:space="preserve">Talla 5 oct</t>
  </si>
  <si>
    <t xml:space="preserve">Talla 23 nov</t>
  </si>
  <si>
    <t xml:space="preserve">Talla 18 ene</t>
  </si>
  <si>
    <t xml:space="preserve">Talla 15 feb</t>
  </si>
  <si>
    <t xml:space="preserve">Talla 8 mar</t>
  </si>
  <si>
    <t xml:space="preserve">Talla 26 abr</t>
  </si>
  <si>
    <t xml:space="preserve">Máx. crecim. (cm)</t>
  </si>
  <si>
    <t xml:space="preserve">Aviso</t>
  </si>
  <si>
    <t xml:space="preserve">Jugador 1</t>
  </si>
  <si>
    <t xml:space="preserve">Jugador 2</t>
  </si>
  <si>
    <t xml:space="preserve">Jugador 3</t>
  </si>
  <si>
    <t xml:space="preserve">Jugador 4</t>
  </si>
  <si>
    <t xml:space="preserve">Jugador 5</t>
  </si>
  <si>
    <t xml:space="preserve">Jugador 6</t>
  </si>
  <si>
    <t xml:space="preserve">Jugador 7</t>
  </si>
  <si>
    <t xml:space="preserve">Jugador 8</t>
  </si>
  <si>
    <t xml:space="preserve">Jugador 9</t>
  </si>
  <si>
    <t xml:space="preserve">Jugador 10</t>
  </si>
  <si>
    <t xml:space="preserve">Jugador 11</t>
  </si>
  <si>
    <t xml:space="preserve">Jugador 12</t>
  </si>
  <si>
    <t xml:space="preserve">Jugador 13</t>
  </si>
  <si>
    <t xml:space="preserve">Jugador 14</t>
  </si>
  <si>
    <t xml:space="preserve">REGISTRO SEMANAL</t>
  </si>
  <si>
    <t xml:space="preserve">Rellena solo las celdas amarillas. Una fila por jugador y semana.</t>
  </si>
  <si>
    <t xml:space="preserve">Sem</t>
  </si>
  <si>
    <t xml:space="preserve">Lunes</t>
  </si>
  <si>
    <t xml:space="preserve">Meso</t>
  </si>
  <si>
    <t xml:space="preserve">Partido</t>
  </si>
  <si>
    <t xml:space="preserve">Carga plan.</t>
  </si>
  <si>
    <t xml:space="preserve">RPE L</t>
  </si>
  <si>
    <t xml:space="preserve">RPE X</t>
  </si>
  <si>
    <t xml:space="preserve">RPE V</t>
  </si>
  <si>
    <t xml:space="preserve">Carga sem.</t>
  </si>
  <si>
    <t xml:space="preserve">Dolor rodilla</t>
  </si>
  <si>
    <t xml:space="preserve">Dolor talón</t>
  </si>
  <si>
    <t xml:space="preserve">Dolor espalda</t>
  </si>
  <si>
    <t xml:space="preserve">Máx dolor</t>
  </si>
  <si>
    <t xml:space="preserve">Actuación</t>
  </si>
  <si>
    <t xml:space="preserve">CMJ (cm)</t>
  </si>
  <si>
    <t xml:space="preserve">Bienestar (4-20)</t>
  </si>
  <si>
    <t xml:space="preserve">M0</t>
  </si>
  <si>
    <t xml:space="preserve">—</t>
  </si>
  <si>
    <t xml:space="preserve">Amist.</t>
  </si>
  <si>
    <t xml:space="preserve">J1</t>
  </si>
  <si>
    <t xml:space="preserve">M1</t>
  </si>
  <si>
    <t xml:space="preserve">LIBRE</t>
  </si>
  <si>
    <t xml:space="preserve">J2</t>
  </si>
  <si>
    <t xml:space="preserve">J3</t>
  </si>
  <si>
    <t xml:space="preserve">J4</t>
  </si>
  <si>
    <t xml:space="preserve">J5</t>
  </si>
  <si>
    <t xml:space="preserve">J6</t>
  </si>
  <si>
    <t xml:space="preserve">J7</t>
  </si>
  <si>
    <t xml:space="preserve">M2</t>
  </si>
  <si>
    <t xml:space="preserve">J8</t>
  </si>
  <si>
    <t xml:space="preserve">J9</t>
  </si>
  <si>
    <t xml:space="preserve">M3</t>
  </si>
  <si>
    <t xml:space="preserve">J10</t>
  </si>
  <si>
    <t xml:space="preserve">M4</t>
  </si>
  <si>
    <t xml:space="preserve">J11</t>
  </si>
  <si>
    <t xml:space="preserve">J12</t>
  </si>
  <si>
    <t xml:space="preserve">J13</t>
  </si>
  <si>
    <t xml:space="preserve">J14</t>
  </si>
  <si>
    <t xml:space="preserve">J15</t>
  </si>
  <si>
    <t xml:space="preserve">J16</t>
  </si>
  <si>
    <t xml:space="preserve">M5</t>
  </si>
  <si>
    <t xml:space="preserve">J17</t>
  </si>
  <si>
    <t xml:space="preserve">J18</t>
  </si>
  <si>
    <t xml:space="preserve">M6</t>
  </si>
  <si>
    <t xml:space="preserve">S.Santa</t>
  </si>
  <si>
    <t xml:space="preserve">J19</t>
  </si>
  <si>
    <t xml:space="preserve">M7</t>
  </si>
  <si>
    <t xml:space="preserve">J20</t>
  </si>
  <si>
    <t xml:space="preserve">J21</t>
  </si>
  <si>
    <t xml:space="preserve">J22</t>
  </si>
  <si>
    <t xml:space="preserve">M8</t>
  </si>
  <si>
    <t xml:space="preserve">2ªF-1</t>
  </si>
  <si>
    <t xml:space="preserve">M9</t>
  </si>
  <si>
    <t xml:space="preserve">2ªF-2</t>
  </si>
  <si>
    <t xml:space="preserve">2ªF-3</t>
  </si>
  <si>
    <t xml:space="preserve">2ªF-4</t>
  </si>
  <si>
    <t xml:space="preserve">FINAL</t>
  </si>
  <si>
    <t xml:space="preserve">MAPA DE DOLOR · Valor máximo semanal de rodilla, talón y espalda</t>
  </si>
  <si>
    <t xml:space="preserve">Se rellena solo a partir de la hoja Registro.</t>
  </si>
  <si>
    <t xml:space="preserve">Semana</t>
  </si>
  <si>
    <t xml:space="preserve">CARGA PERCIBIDA SEMANAL · RPE por duración de sesión</t>
  </si>
  <si>
    <t xml:space="preserve">Carga planificada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</si>
</sst>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9966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1F4E79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23.8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2" customFormat="false" ht="15" hidden="false" customHeight="false" outlineLevel="0" collapsed="false">
      <c r="B12" s="3" t="s">
        <v>8</v>
      </c>
    </row>
    <row r="13" customFormat="false" ht="23.85" hidden="false" customHeight="false" outlineLevel="0" collapsed="false">
      <c r="B13" s="4" t="s">
        <v>9</v>
      </c>
    </row>
    <row r="14" customFormat="false" ht="23.8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8" customFormat="false" ht="15" hidden="false" customHeight="false" outlineLevel="0" collapsed="false">
      <c r="B18" s="3" t="s">
        <v>13</v>
      </c>
    </row>
    <row r="19" customFormat="false" ht="23.85" hidden="false" customHeight="false" outlineLevel="0" collapsed="false">
      <c r="B19" s="4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4" t="s">
        <v>16</v>
      </c>
    </row>
    <row r="23" customFormat="false" ht="23.8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4" t="s">
        <v>18</v>
      </c>
    </row>
    <row r="25" customFormat="false" ht="15" hidden="false" customHeight="false" outlineLevel="0" collapsed="false">
      <c r="B25" s="4" t="s">
        <v>19</v>
      </c>
    </row>
    <row r="27" customFormat="false" ht="15" hidden="false" customHeight="false" outlineLevel="0" collapsed="false">
      <c r="B27" s="3" t="s">
        <v>20</v>
      </c>
    </row>
    <row r="28" customFormat="false" ht="35.05" hidden="false" customHeight="false" outlineLevel="0" collapsed="false">
      <c r="B28" s="4" t="s">
        <v>21</v>
      </c>
    </row>
    <row r="30" customFormat="false" ht="15" hidden="false" customHeight="false" outlineLevel="0" collapsed="false">
      <c r="B30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11" min="5" style="0" width="11"/>
    <col collapsed="false" customWidth="true" hidden="false" outlineLevel="0" max="12" min="12" style="0" width="17"/>
    <col collapsed="false" customWidth="true" hidden="false" outlineLevel="0" max="13" min="13" style="0" width="30"/>
  </cols>
  <sheetData>
    <row r="1" customFormat="false" ht="16.15" hidden="false" customHeight="false" outlineLevel="0" collapsed="false">
      <c r="A1" s="6" t="s">
        <v>23</v>
      </c>
    </row>
    <row r="2" customFormat="false" ht="15" hidden="false" customHeight="false" outlineLevel="0" collapsed="false">
      <c r="A2" s="7" t="s">
        <v>24</v>
      </c>
    </row>
    <row r="4" customFormat="false" ht="15" hidden="false" customHeight="false" outlineLevel="0" collapsed="false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</row>
    <row r="5" customFormat="false" ht="15" hidden="false" customHeight="false" outlineLevel="0" collapsed="false">
      <c r="A5" s="9" t="n">
        <v>1</v>
      </c>
      <c r="B5" s="10" t="s">
        <v>38</v>
      </c>
      <c r="C5" s="11"/>
      <c r="D5" s="11"/>
      <c r="E5" s="11"/>
      <c r="F5" s="11"/>
      <c r="G5" s="11"/>
      <c r="H5" s="11"/>
      <c r="I5" s="11"/>
      <c r="J5" s="11"/>
      <c r="K5" s="11"/>
      <c r="L5" s="12" t="str">
        <f aca="false">IF(COUNT(E5:K5)&lt;2,"",MAX(IFERROR(F5-E5,0),IFERROR(G5-F5,0),IFERROR(H5-G5,0),IFERROR(I5-H5,0),IFERROR(J5-I5,0),IFERROR(K5-J5,0)))</f>
        <v/>
      </c>
      <c r="M5" s="12" t="str">
        <f aca="false">IF(L5="","",IF(L5&gt;1.2,"Pico de crecimiento · mitad de contactos de pliometría","Normal"))</f>
        <v/>
      </c>
    </row>
    <row r="6" customFormat="false" ht="15" hidden="false" customHeight="false" outlineLevel="0" collapsed="false">
      <c r="A6" s="9" t="n">
        <v>2</v>
      </c>
      <c r="B6" s="10" t="s">
        <v>39</v>
      </c>
      <c r="C6" s="11"/>
      <c r="D6" s="11"/>
      <c r="E6" s="11"/>
      <c r="F6" s="11"/>
      <c r="G6" s="11"/>
      <c r="H6" s="11"/>
      <c r="I6" s="11"/>
      <c r="J6" s="11"/>
      <c r="K6" s="11"/>
      <c r="L6" s="12" t="str">
        <f aca="false">IF(COUNT(E6:K6)&lt;2,"",MAX(IFERROR(F6-E6,0),IFERROR(G6-F6,0),IFERROR(H6-G6,0),IFERROR(I6-H6,0),IFERROR(J6-I6,0),IFERROR(K6-J6,0)))</f>
        <v/>
      </c>
      <c r="M6" s="12" t="str">
        <f aca="false">IF(L6="","",IF(L6&gt;1.2,"Pico de crecimiento · mitad de contactos de pliometría","Normal"))</f>
        <v/>
      </c>
    </row>
    <row r="7" customFormat="false" ht="15" hidden="false" customHeight="false" outlineLevel="0" collapsed="false">
      <c r="A7" s="9" t="n">
        <v>3</v>
      </c>
      <c r="B7" s="10" t="s">
        <v>40</v>
      </c>
      <c r="C7" s="11"/>
      <c r="D7" s="11"/>
      <c r="E7" s="11"/>
      <c r="F7" s="11"/>
      <c r="G7" s="11"/>
      <c r="H7" s="11"/>
      <c r="I7" s="11"/>
      <c r="J7" s="11"/>
      <c r="K7" s="11"/>
      <c r="L7" s="12" t="str">
        <f aca="false">IF(COUNT(E7:K7)&lt;2,"",MAX(IFERROR(F7-E7,0),IFERROR(G7-F7,0),IFERROR(H7-G7,0),IFERROR(I7-H7,0),IFERROR(J7-I7,0),IFERROR(K7-J7,0)))</f>
        <v/>
      </c>
      <c r="M7" s="12" t="str">
        <f aca="false">IF(L7="","",IF(L7&gt;1.2,"Pico de crecimiento · mitad de contactos de pliometría","Normal"))</f>
        <v/>
      </c>
    </row>
    <row r="8" customFormat="false" ht="15" hidden="false" customHeight="false" outlineLevel="0" collapsed="false">
      <c r="A8" s="9" t="n">
        <v>4</v>
      </c>
      <c r="B8" s="10" t="s">
        <v>41</v>
      </c>
      <c r="C8" s="11"/>
      <c r="D8" s="11"/>
      <c r="E8" s="11"/>
      <c r="F8" s="11"/>
      <c r="G8" s="11"/>
      <c r="H8" s="11"/>
      <c r="I8" s="11"/>
      <c r="J8" s="11"/>
      <c r="K8" s="11"/>
      <c r="L8" s="12" t="str">
        <f aca="false">IF(COUNT(E8:K8)&lt;2,"",MAX(IFERROR(F8-E8,0),IFERROR(G8-F8,0),IFERROR(H8-G8,0),IFERROR(I8-H8,0),IFERROR(J8-I8,0),IFERROR(K8-J8,0)))</f>
        <v/>
      </c>
      <c r="M8" s="12" t="str">
        <f aca="false">IF(L8="","",IF(L8&gt;1.2,"Pico de crecimiento · mitad de contactos de pliometría","Normal"))</f>
        <v/>
      </c>
    </row>
    <row r="9" customFormat="false" ht="15" hidden="false" customHeight="false" outlineLevel="0" collapsed="false">
      <c r="A9" s="9" t="n">
        <v>5</v>
      </c>
      <c r="B9" s="10" t="s">
        <v>42</v>
      </c>
      <c r="C9" s="11"/>
      <c r="D9" s="11"/>
      <c r="E9" s="11"/>
      <c r="F9" s="11"/>
      <c r="G9" s="11"/>
      <c r="H9" s="11"/>
      <c r="I9" s="11"/>
      <c r="J9" s="11"/>
      <c r="K9" s="11"/>
      <c r="L9" s="12" t="str">
        <f aca="false">IF(COUNT(E9:K9)&lt;2,"",MAX(IFERROR(F9-E9,0),IFERROR(G9-F9,0),IFERROR(H9-G9,0),IFERROR(I9-H9,0),IFERROR(J9-I9,0),IFERROR(K9-J9,0)))</f>
        <v/>
      </c>
      <c r="M9" s="12" t="str">
        <f aca="false">IF(L9="","",IF(L9&gt;1.2,"Pico de crecimiento · mitad de contactos de pliometría","Normal"))</f>
        <v/>
      </c>
    </row>
    <row r="10" customFormat="false" ht="15" hidden="false" customHeight="false" outlineLevel="0" collapsed="false">
      <c r="A10" s="9" t="n">
        <v>6</v>
      </c>
      <c r="B10" s="10" t="s">
        <v>43</v>
      </c>
      <c r="C10" s="11"/>
      <c r="D10" s="11"/>
      <c r="E10" s="11"/>
      <c r="F10" s="11"/>
      <c r="G10" s="11"/>
      <c r="H10" s="11"/>
      <c r="I10" s="11"/>
      <c r="J10" s="11"/>
      <c r="K10" s="11"/>
      <c r="L10" s="12" t="str">
        <f aca="false">IF(COUNT(E10:K10)&lt;2,"",MAX(IFERROR(F10-E10,0),IFERROR(G10-F10,0),IFERROR(H10-G10,0),IFERROR(I10-H10,0),IFERROR(J10-I10,0),IFERROR(K10-J10,0)))</f>
        <v/>
      </c>
      <c r="M10" s="12" t="str">
        <f aca="false">IF(L10="","",IF(L10&gt;1.2,"Pico de crecimiento · mitad de contactos de pliometría","Normal"))</f>
        <v/>
      </c>
    </row>
    <row r="11" customFormat="false" ht="15" hidden="false" customHeight="false" outlineLevel="0" collapsed="false">
      <c r="A11" s="9" t="n">
        <v>7</v>
      </c>
      <c r="B11" s="10" t="s">
        <v>44</v>
      </c>
      <c r="C11" s="11"/>
      <c r="D11" s="11"/>
      <c r="E11" s="11"/>
      <c r="F11" s="11"/>
      <c r="G11" s="11"/>
      <c r="H11" s="11"/>
      <c r="I11" s="11"/>
      <c r="J11" s="11"/>
      <c r="K11" s="11"/>
      <c r="L11" s="12" t="str">
        <f aca="false">IF(COUNT(E11:K11)&lt;2,"",MAX(IFERROR(F11-E11,0),IFERROR(G11-F11,0),IFERROR(H11-G11,0),IFERROR(I11-H11,0),IFERROR(J11-I11,0),IFERROR(K11-J11,0)))</f>
        <v/>
      </c>
      <c r="M11" s="12" t="str">
        <f aca="false">IF(L11="","",IF(L11&gt;1.2,"Pico de crecimiento · mitad de contactos de pliometría","Normal"))</f>
        <v/>
      </c>
    </row>
    <row r="12" customFormat="false" ht="15" hidden="false" customHeight="false" outlineLevel="0" collapsed="false">
      <c r="A12" s="9" t="n">
        <v>8</v>
      </c>
      <c r="B12" s="10" t="s">
        <v>45</v>
      </c>
      <c r="C12" s="11"/>
      <c r="D12" s="11"/>
      <c r="E12" s="11"/>
      <c r="F12" s="11"/>
      <c r="G12" s="11"/>
      <c r="H12" s="11"/>
      <c r="I12" s="11"/>
      <c r="J12" s="11"/>
      <c r="K12" s="11"/>
      <c r="L12" s="12" t="str">
        <f aca="false">IF(COUNT(E12:K12)&lt;2,"",MAX(IFERROR(F12-E12,0),IFERROR(G12-F12,0),IFERROR(H12-G12,0),IFERROR(I12-H12,0),IFERROR(J12-I12,0),IFERROR(K12-J12,0)))</f>
        <v/>
      </c>
      <c r="M12" s="12" t="str">
        <f aca="false">IF(L12="","",IF(L12&gt;1.2,"Pico de crecimiento · mitad de contactos de pliometría","Normal"))</f>
        <v/>
      </c>
    </row>
    <row r="13" customFormat="false" ht="15" hidden="false" customHeight="false" outlineLevel="0" collapsed="false">
      <c r="A13" s="9" t="n">
        <v>9</v>
      </c>
      <c r="B13" s="10" t="s">
        <v>46</v>
      </c>
      <c r="C13" s="11"/>
      <c r="D13" s="11"/>
      <c r="E13" s="11"/>
      <c r="F13" s="11"/>
      <c r="G13" s="11"/>
      <c r="H13" s="11"/>
      <c r="I13" s="11"/>
      <c r="J13" s="11"/>
      <c r="K13" s="11"/>
      <c r="L13" s="12" t="str">
        <f aca="false">IF(COUNT(E13:K13)&lt;2,"",MAX(IFERROR(F13-E13,0),IFERROR(G13-F13,0),IFERROR(H13-G13,0),IFERROR(I13-H13,0),IFERROR(J13-I13,0),IFERROR(K13-J13,0)))</f>
        <v/>
      </c>
      <c r="M13" s="12" t="str">
        <f aca="false">IF(L13="","",IF(L13&gt;1.2,"Pico de crecimiento · mitad de contactos de pliometría","Normal"))</f>
        <v/>
      </c>
    </row>
    <row r="14" customFormat="false" ht="15" hidden="false" customHeight="false" outlineLevel="0" collapsed="false">
      <c r="A14" s="9" t="n">
        <v>10</v>
      </c>
      <c r="B14" s="10" t="s">
        <v>47</v>
      </c>
      <c r="C14" s="11"/>
      <c r="D14" s="11"/>
      <c r="E14" s="11"/>
      <c r="F14" s="11"/>
      <c r="G14" s="11"/>
      <c r="H14" s="11"/>
      <c r="I14" s="11"/>
      <c r="J14" s="11"/>
      <c r="K14" s="11"/>
      <c r="L14" s="12" t="str">
        <f aca="false">IF(COUNT(E14:K14)&lt;2,"",MAX(IFERROR(F14-E14,0),IFERROR(G14-F14,0),IFERROR(H14-G14,0),IFERROR(I14-H14,0),IFERROR(J14-I14,0),IFERROR(K14-J14,0)))</f>
        <v/>
      </c>
      <c r="M14" s="12" t="str">
        <f aca="false">IF(L14="","",IF(L14&gt;1.2,"Pico de crecimiento · mitad de contactos de pliometría","Normal"))</f>
        <v/>
      </c>
    </row>
    <row r="15" customFormat="false" ht="15" hidden="false" customHeight="false" outlineLevel="0" collapsed="false">
      <c r="A15" s="9" t="n">
        <v>11</v>
      </c>
      <c r="B15" s="10" t="s">
        <v>48</v>
      </c>
      <c r="C15" s="11"/>
      <c r="D15" s="11"/>
      <c r="E15" s="11"/>
      <c r="F15" s="11"/>
      <c r="G15" s="11"/>
      <c r="H15" s="11"/>
      <c r="I15" s="11"/>
      <c r="J15" s="11"/>
      <c r="K15" s="11"/>
      <c r="L15" s="12" t="str">
        <f aca="false">IF(COUNT(E15:K15)&lt;2,"",MAX(IFERROR(F15-E15,0),IFERROR(G15-F15,0),IFERROR(H15-G15,0),IFERROR(I15-H15,0),IFERROR(J15-I15,0),IFERROR(K15-J15,0)))</f>
        <v/>
      </c>
      <c r="M15" s="12" t="str">
        <f aca="false">IF(L15="","",IF(L15&gt;1.2,"Pico de crecimiento · mitad de contactos de pliometría","Normal"))</f>
        <v/>
      </c>
    </row>
    <row r="16" customFormat="false" ht="15" hidden="false" customHeight="false" outlineLevel="0" collapsed="false">
      <c r="A16" s="9" t="n">
        <v>12</v>
      </c>
      <c r="B16" s="10" t="s">
        <v>49</v>
      </c>
      <c r="C16" s="11"/>
      <c r="D16" s="11"/>
      <c r="E16" s="11"/>
      <c r="F16" s="11"/>
      <c r="G16" s="11"/>
      <c r="H16" s="11"/>
      <c r="I16" s="11"/>
      <c r="J16" s="11"/>
      <c r="K16" s="11"/>
      <c r="L16" s="12" t="str">
        <f aca="false">IF(COUNT(E16:K16)&lt;2,"",MAX(IFERROR(F16-E16,0),IFERROR(G16-F16,0),IFERROR(H16-G16,0),IFERROR(I16-H16,0),IFERROR(J16-I16,0),IFERROR(K16-J16,0)))</f>
        <v/>
      </c>
      <c r="M16" s="12" t="str">
        <f aca="false">IF(L16="","",IF(L16&gt;1.2,"Pico de crecimiento · mitad de contactos de pliometría","Normal"))</f>
        <v/>
      </c>
    </row>
    <row r="17" customFormat="false" ht="15" hidden="false" customHeight="false" outlineLevel="0" collapsed="false">
      <c r="A17" s="9" t="n">
        <v>13</v>
      </c>
      <c r="B17" s="10" t="s">
        <v>50</v>
      </c>
      <c r="C17" s="11"/>
      <c r="D17" s="11"/>
      <c r="E17" s="11"/>
      <c r="F17" s="11"/>
      <c r="G17" s="11"/>
      <c r="H17" s="11"/>
      <c r="I17" s="11"/>
      <c r="J17" s="11"/>
      <c r="K17" s="11"/>
      <c r="L17" s="12" t="str">
        <f aca="false">IF(COUNT(E17:K17)&lt;2,"",MAX(IFERROR(F17-E17,0),IFERROR(G17-F17,0),IFERROR(H17-G17,0),IFERROR(I17-H17,0),IFERROR(J17-I17,0),IFERROR(K17-J17,0)))</f>
        <v/>
      </c>
      <c r="M17" s="12" t="str">
        <f aca="false">IF(L17="","",IF(L17&gt;1.2,"Pico de crecimiento · mitad de contactos de pliometría","Normal"))</f>
        <v/>
      </c>
    </row>
    <row r="18" customFormat="false" ht="15" hidden="false" customHeight="false" outlineLevel="0" collapsed="false">
      <c r="A18" s="9" t="n">
        <v>14</v>
      </c>
      <c r="B18" s="10" t="s">
        <v>51</v>
      </c>
      <c r="C18" s="11"/>
      <c r="D18" s="11"/>
      <c r="E18" s="11"/>
      <c r="F18" s="11"/>
      <c r="G18" s="11"/>
      <c r="H18" s="11"/>
      <c r="I18" s="11"/>
      <c r="J18" s="11"/>
      <c r="K18" s="11"/>
      <c r="L18" s="12" t="str">
        <f aca="false">IF(COUNT(E18:K18)&lt;2,"",MAX(IFERROR(F18-E18,0),IFERROR(G18-F18,0),IFERROR(H18-G18,0),IFERROR(I18-H18,0),IFERROR(J18-I18,0),IFERROR(K18-J18,0)))</f>
        <v/>
      </c>
      <c r="M18" s="12" t="str">
        <f aca="false">IF(L18="","",IF(L18&gt;1.2,"Pico de crecimiento · mitad de contactos de pliometría","Normal"))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9" min="7" style="0" width="7"/>
    <col collapsed="false" customWidth="true" hidden="false" outlineLevel="0" max="12" min="10" style="0" width="11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44"/>
    <col collapsed="false" customWidth="true" hidden="false" outlineLevel="0" max="16" min="16" style="0" width="10"/>
    <col collapsed="false" customWidth="true" hidden="false" outlineLevel="0" max="17" min="17" style="0" width="15"/>
  </cols>
  <sheetData>
    <row r="1" customFormat="false" ht="16.15" hidden="false" customHeight="false" outlineLevel="0" collapsed="false">
      <c r="A1" s="6" t="s">
        <v>52</v>
      </c>
    </row>
    <row r="2" customFormat="false" ht="15" hidden="false" customHeight="false" outlineLevel="0" collapsed="false">
      <c r="A2" s="7" t="s">
        <v>53</v>
      </c>
    </row>
    <row r="4" customFormat="false" ht="22.35" hidden="false" customHeight="false" outlineLevel="0" collapsed="false">
      <c r="A4" s="8" t="s">
        <v>54</v>
      </c>
      <c r="B4" s="8" t="s">
        <v>55</v>
      </c>
      <c r="C4" s="8" t="s">
        <v>56</v>
      </c>
      <c r="D4" s="8" t="s">
        <v>57</v>
      </c>
      <c r="E4" s="8" t="s">
        <v>58</v>
      </c>
      <c r="F4" s="8" t="s">
        <v>26</v>
      </c>
      <c r="G4" s="8" t="s">
        <v>59</v>
      </c>
      <c r="H4" s="8" t="s">
        <v>60</v>
      </c>
      <c r="I4" s="8" t="s">
        <v>61</v>
      </c>
      <c r="J4" s="8" t="s">
        <v>62</v>
      </c>
      <c r="K4" s="8" t="s">
        <v>63</v>
      </c>
      <c r="L4" s="8" t="s">
        <v>64</v>
      </c>
      <c r="M4" s="8" t="s">
        <v>65</v>
      </c>
      <c r="N4" s="8" t="s">
        <v>66</v>
      </c>
      <c r="O4" s="8" t="s">
        <v>67</v>
      </c>
      <c r="P4" s="8" t="s">
        <v>68</v>
      </c>
      <c r="Q4" s="8" t="s">
        <v>69</v>
      </c>
    </row>
    <row r="5" customFormat="false" ht="15" hidden="false" customHeight="false" outlineLevel="0" collapsed="false">
      <c r="A5" s="13" t="n">
        <v>1</v>
      </c>
      <c r="B5" s="14" t="n">
        <v>46272</v>
      </c>
      <c r="C5" s="13" t="s">
        <v>70</v>
      </c>
      <c r="D5" s="13" t="s">
        <v>71</v>
      </c>
      <c r="E5" s="13" t="n">
        <v>6</v>
      </c>
      <c r="F5" s="15" t="str">
        <f aca="false">Jugadores!$B$5</f>
        <v>Jugador 1</v>
      </c>
      <c r="G5" s="16"/>
      <c r="H5" s="16"/>
      <c r="I5" s="16"/>
      <c r="J5" s="17" t="str">
        <f aca="false">IF(COUNT(G5:I5)=0,"",G5*55+H5*50+I5*50)</f>
        <v/>
      </c>
      <c r="K5" s="16"/>
      <c r="L5" s="16"/>
      <c r="M5" s="16"/>
      <c r="N5" s="17" t="str">
        <f aca="false">IF(COUNT(K5:M5)=0,"",MAX(K5:M5))</f>
        <v/>
      </c>
      <c r="O5" s="18" t="str">
        <f aca="false">IF(N5="","",IF(N5&gt;=7,"Sin pliometría ni velocidad. Solo isométricos, movilidad y tren superior. Valoración médica",IF(N5&gt;=4,"Sin pliometría el lunes. Sentadilla española 5x45 s","Sesión normal")))</f>
        <v/>
      </c>
      <c r="P5" s="16"/>
      <c r="Q5" s="16"/>
    </row>
    <row r="6" customFormat="false" ht="15" hidden="false" customHeight="false" outlineLevel="0" collapsed="false">
      <c r="A6" s="13" t="n">
        <v>1</v>
      </c>
      <c r="B6" s="14" t="n">
        <v>46272</v>
      </c>
      <c r="C6" s="13" t="s">
        <v>70</v>
      </c>
      <c r="D6" s="13" t="s">
        <v>71</v>
      </c>
      <c r="E6" s="13" t="n">
        <v>6</v>
      </c>
      <c r="F6" s="15" t="str">
        <f aca="false">Jugadores!$B$6</f>
        <v>Jugador 2</v>
      </c>
      <c r="G6" s="16"/>
      <c r="H6" s="16"/>
      <c r="I6" s="16"/>
      <c r="J6" s="17" t="str">
        <f aca="false">IF(COUNT(G6:I6)=0,"",G6*55+H6*50+I6*50)</f>
        <v/>
      </c>
      <c r="K6" s="16"/>
      <c r="L6" s="16"/>
      <c r="M6" s="16"/>
      <c r="N6" s="17" t="str">
        <f aca="false">IF(COUNT(K6:M6)=0,"",MAX(K6:M6))</f>
        <v/>
      </c>
      <c r="O6" s="18" t="str">
        <f aca="false">IF(N6="","",IF(N6&gt;=7,"Sin pliometría ni velocidad. Solo isométricos, movilidad y tren superior. Valoración médica",IF(N6&gt;=4,"Sin pliometría el lunes. Sentadilla española 5x45 s","Sesión normal")))</f>
        <v/>
      </c>
      <c r="P6" s="16"/>
      <c r="Q6" s="16"/>
    </row>
    <row r="7" customFormat="false" ht="15" hidden="false" customHeight="false" outlineLevel="0" collapsed="false">
      <c r="A7" s="13" t="n">
        <v>1</v>
      </c>
      <c r="B7" s="14" t="n">
        <v>46272</v>
      </c>
      <c r="C7" s="13" t="s">
        <v>70</v>
      </c>
      <c r="D7" s="13" t="s">
        <v>71</v>
      </c>
      <c r="E7" s="13" t="n">
        <v>6</v>
      </c>
      <c r="F7" s="15" t="str">
        <f aca="false">Jugadores!$B$7</f>
        <v>Jugador 3</v>
      </c>
      <c r="G7" s="16"/>
      <c r="H7" s="16"/>
      <c r="I7" s="16"/>
      <c r="J7" s="17" t="str">
        <f aca="false">IF(COUNT(G7:I7)=0,"",G7*55+H7*50+I7*50)</f>
        <v/>
      </c>
      <c r="K7" s="16"/>
      <c r="L7" s="16"/>
      <c r="M7" s="16"/>
      <c r="N7" s="17" t="str">
        <f aca="false">IF(COUNT(K7:M7)=0,"",MAX(K7:M7))</f>
        <v/>
      </c>
      <c r="O7" s="18" t="str">
        <f aca="false">IF(N7="","",IF(N7&gt;=7,"Sin pliometría ni velocidad. Solo isométricos, movilidad y tren superior. Valoración médica",IF(N7&gt;=4,"Sin pliometría el lunes. Sentadilla española 5x45 s","Sesión normal")))</f>
        <v/>
      </c>
      <c r="P7" s="16"/>
      <c r="Q7" s="16"/>
    </row>
    <row r="8" customFormat="false" ht="15" hidden="false" customHeight="false" outlineLevel="0" collapsed="false">
      <c r="A8" s="13" t="n">
        <v>1</v>
      </c>
      <c r="B8" s="14" t="n">
        <v>46272</v>
      </c>
      <c r="C8" s="13" t="s">
        <v>70</v>
      </c>
      <c r="D8" s="13" t="s">
        <v>71</v>
      </c>
      <c r="E8" s="13" t="n">
        <v>6</v>
      </c>
      <c r="F8" s="15" t="str">
        <f aca="false">Jugadores!$B$8</f>
        <v>Jugador 4</v>
      </c>
      <c r="G8" s="16"/>
      <c r="H8" s="16"/>
      <c r="I8" s="16"/>
      <c r="J8" s="17" t="str">
        <f aca="false">IF(COUNT(G8:I8)=0,"",G8*55+H8*50+I8*50)</f>
        <v/>
      </c>
      <c r="K8" s="16"/>
      <c r="L8" s="16"/>
      <c r="M8" s="16"/>
      <c r="N8" s="17" t="str">
        <f aca="false">IF(COUNT(K8:M8)=0,"",MAX(K8:M8))</f>
        <v/>
      </c>
      <c r="O8" s="18" t="str">
        <f aca="false">IF(N8="","",IF(N8&gt;=7,"Sin pliometría ni velocidad. Solo isométricos, movilidad y tren superior. Valoración médica",IF(N8&gt;=4,"Sin pliometría el lunes. Sentadilla española 5x45 s","Sesión normal")))</f>
        <v/>
      </c>
      <c r="P8" s="16"/>
      <c r="Q8" s="16"/>
    </row>
    <row r="9" customFormat="false" ht="15" hidden="false" customHeight="false" outlineLevel="0" collapsed="false">
      <c r="A9" s="13" t="n">
        <v>1</v>
      </c>
      <c r="B9" s="14" t="n">
        <v>46272</v>
      </c>
      <c r="C9" s="13" t="s">
        <v>70</v>
      </c>
      <c r="D9" s="13" t="s">
        <v>71</v>
      </c>
      <c r="E9" s="13" t="n">
        <v>6</v>
      </c>
      <c r="F9" s="15" t="str">
        <f aca="false">Jugadores!$B$9</f>
        <v>Jugador 5</v>
      </c>
      <c r="G9" s="16"/>
      <c r="H9" s="16"/>
      <c r="I9" s="16"/>
      <c r="J9" s="17" t="str">
        <f aca="false">IF(COUNT(G9:I9)=0,"",G9*55+H9*50+I9*50)</f>
        <v/>
      </c>
      <c r="K9" s="16"/>
      <c r="L9" s="16"/>
      <c r="M9" s="16"/>
      <c r="N9" s="17" t="str">
        <f aca="false">IF(COUNT(K9:M9)=0,"",MAX(K9:M9))</f>
        <v/>
      </c>
      <c r="O9" s="18" t="str">
        <f aca="false">IF(N9="","",IF(N9&gt;=7,"Sin pliometría ni velocidad. Solo isométricos, movilidad y tren superior. Valoración médica",IF(N9&gt;=4,"Sin pliometría el lunes. Sentadilla española 5x45 s","Sesión normal")))</f>
        <v/>
      </c>
      <c r="P9" s="16"/>
      <c r="Q9" s="16"/>
    </row>
    <row r="10" customFormat="false" ht="15" hidden="false" customHeight="false" outlineLevel="0" collapsed="false">
      <c r="A10" s="13" t="n">
        <v>1</v>
      </c>
      <c r="B10" s="14" t="n">
        <v>46272</v>
      </c>
      <c r="C10" s="13" t="s">
        <v>70</v>
      </c>
      <c r="D10" s="13" t="s">
        <v>71</v>
      </c>
      <c r="E10" s="13" t="n">
        <v>6</v>
      </c>
      <c r="F10" s="15" t="str">
        <f aca="false">Jugadores!$B$10</f>
        <v>Jugador 6</v>
      </c>
      <c r="G10" s="16"/>
      <c r="H10" s="16"/>
      <c r="I10" s="16"/>
      <c r="J10" s="17" t="str">
        <f aca="false">IF(COUNT(G10:I10)=0,"",G10*55+H10*50+I10*50)</f>
        <v/>
      </c>
      <c r="K10" s="16"/>
      <c r="L10" s="16"/>
      <c r="M10" s="16"/>
      <c r="N10" s="17" t="str">
        <f aca="false">IF(COUNT(K10:M10)=0,"",MAX(K10:M10))</f>
        <v/>
      </c>
      <c r="O10" s="18" t="str">
        <f aca="false">IF(N10="","",IF(N10&gt;=7,"Sin pliometría ni velocidad. Solo isométricos, movilidad y tren superior. Valoración médica",IF(N10&gt;=4,"Sin pliometría el lunes. Sentadilla española 5x45 s","Sesión normal")))</f>
        <v/>
      </c>
      <c r="P10" s="16"/>
      <c r="Q10" s="16"/>
    </row>
    <row r="11" customFormat="false" ht="15" hidden="false" customHeight="false" outlineLevel="0" collapsed="false">
      <c r="A11" s="13" t="n">
        <v>1</v>
      </c>
      <c r="B11" s="14" t="n">
        <v>46272</v>
      </c>
      <c r="C11" s="13" t="s">
        <v>70</v>
      </c>
      <c r="D11" s="13" t="s">
        <v>71</v>
      </c>
      <c r="E11" s="13" t="n">
        <v>6</v>
      </c>
      <c r="F11" s="15" t="str">
        <f aca="false">Jugadores!$B$11</f>
        <v>Jugador 7</v>
      </c>
      <c r="G11" s="16"/>
      <c r="H11" s="16"/>
      <c r="I11" s="16"/>
      <c r="J11" s="17" t="str">
        <f aca="false">IF(COUNT(G11:I11)=0,"",G11*55+H11*50+I11*50)</f>
        <v/>
      </c>
      <c r="K11" s="16"/>
      <c r="L11" s="16"/>
      <c r="M11" s="16"/>
      <c r="N11" s="17" t="str">
        <f aca="false">IF(COUNT(K11:M11)=0,"",MAX(K11:M11))</f>
        <v/>
      </c>
      <c r="O11" s="18" t="str">
        <f aca="false">IF(N11="","",IF(N11&gt;=7,"Sin pliometría ni velocidad. Solo isométricos, movilidad y tren superior. Valoración médica",IF(N11&gt;=4,"Sin pliometría el lunes. Sentadilla española 5x45 s","Sesión normal")))</f>
        <v/>
      </c>
      <c r="P11" s="16"/>
      <c r="Q11" s="16"/>
    </row>
    <row r="12" customFormat="false" ht="15" hidden="false" customHeight="false" outlineLevel="0" collapsed="false">
      <c r="A12" s="13" t="n">
        <v>1</v>
      </c>
      <c r="B12" s="14" t="n">
        <v>46272</v>
      </c>
      <c r="C12" s="13" t="s">
        <v>70</v>
      </c>
      <c r="D12" s="13" t="s">
        <v>71</v>
      </c>
      <c r="E12" s="13" t="n">
        <v>6</v>
      </c>
      <c r="F12" s="15" t="str">
        <f aca="false">Jugadores!$B$12</f>
        <v>Jugador 8</v>
      </c>
      <c r="G12" s="16"/>
      <c r="H12" s="16"/>
      <c r="I12" s="16"/>
      <c r="J12" s="17" t="str">
        <f aca="false">IF(COUNT(G12:I12)=0,"",G12*55+H12*50+I12*50)</f>
        <v/>
      </c>
      <c r="K12" s="16"/>
      <c r="L12" s="16"/>
      <c r="M12" s="16"/>
      <c r="N12" s="17" t="str">
        <f aca="false">IF(COUNT(K12:M12)=0,"",MAX(K12:M12))</f>
        <v/>
      </c>
      <c r="O12" s="18" t="str">
        <f aca="false">IF(N12="","",IF(N12&gt;=7,"Sin pliometría ni velocidad. Solo isométricos, movilidad y tren superior. Valoración médica",IF(N12&gt;=4,"Sin pliometría el lunes. Sentadilla española 5x45 s","Sesión normal")))</f>
        <v/>
      </c>
      <c r="P12" s="16"/>
      <c r="Q12" s="16"/>
    </row>
    <row r="13" customFormat="false" ht="15" hidden="false" customHeight="false" outlineLevel="0" collapsed="false">
      <c r="A13" s="13" t="n">
        <v>1</v>
      </c>
      <c r="B13" s="14" t="n">
        <v>46272</v>
      </c>
      <c r="C13" s="13" t="s">
        <v>70</v>
      </c>
      <c r="D13" s="13" t="s">
        <v>71</v>
      </c>
      <c r="E13" s="13" t="n">
        <v>6</v>
      </c>
      <c r="F13" s="15" t="str">
        <f aca="false">Jugadores!$B$13</f>
        <v>Jugador 9</v>
      </c>
      <c r="G13" s="16"/>
      <c r="H13" s="16"/>
      <c r="I13" s="16"/>
      <c r="J13" s="17" t="str">
        <f aca="false">IF(COUNT(G13:I13)=0,"",G13*55+H13*50+I13*50)</f>
        <v/>
      </c>
      <c r="K13" s="16"/>
      <c r="L13" s="16"/>
      <c r="M13" s="16"/>
      <c r="N13" s="17" t="str">
        <f aca="false">IF(COUNT(K13:M13)=0,"",MAX(K13:M13))</f>
        <v/>
      </c>
      <c r="O13" s="18" t="str">
        <f aca="false">IF(N13="","",IF(N13&gt;=7,"Sin pliometría ni velocidad. Solo isométricos, movilidad y tren superior. Valoración médica",IF(N13&gt;=4,"Sin pliometría el lunes. Sentadilla española 5x45 s","Sesión normal")))</f>
        <v/>
      </c>
      <c r="P13" s="16"/>
      <c r="Q13" s="16"/>
    </row>
    <row r="14" customFormat="false" ht="15" hidden="false" customHeight="false" outlineLevel="0" collapsed="false">
      <c r="A14" s="13" t="n">
        <v>1</v>
      </c>
      <c r="B14" s="14" t="n">
        <v>46272</v>
      </c>
      <c r="C14" s="13" t="s">
        <v>70</v>
      </c>
      <c r="D14" s="13" t="s">
        <v>71</v>
      </c>
      <c r="E14" s="13" t="n">
        <v>6</v>
      </c>
      <c r="F14" s="15" t="str">
        <f aca="false">Jugadores!$B$14</f>
        <v>Jugador 10</v>
      </c>
      <c r="G14" s="16"/>
      <c r="H14" s="16"/>
      <c r="I14" s="16"/>
      <c r="J14" s="17" t="str">
        <f aca="false">IF(COUNT(G14:I14)=0,"",G14*55+H14*50+I14*50)</f>
        <v/>
      </c>
      <c r="K14" s="16"/>
      <c r="L14" s="16"/>
      <c r="M14" s="16"/>
      <c r="N14" s="17" t="str">
        <f aca="false">IF(COUNT(K14:M14)=0,"",MAX(K14:M14))</f>
        <v/>
      </c>
      <c r="O14" s="18" t="str">
        <f aca="false">IF(N14="","",IF(N14&gt;=7,"Sin pliometría ni velocidad. Solo isométricos, movilidad y tren superior. Valoración médica",IF(N14&gt;=4,"Sin pliometría el lunes. Sentadilla española 5x45 s","Sesión normal")))</f>
        <v/>
      </c>
      <c r="P14" s="16"/>
      <c r="Q14" s="16"/>
    </row>
    <row r="15" customFormat="false" ht="15" hidden="false" customHeight="false" outlineLevel="0" collapsed="false">
      <c r="A15" s="13" t="n">
        <v>1</v>
      </c>
      <c r="B15" s="14" t="n">
        <v>46272</v>
      </c>
      <c r="C15" s="13" t="s">
        <v>70</v>
      </c>
      <c r="D15" s="13" t="s">
        <v>71</v>
      </c>
      <c r="E15" s="13" t="n">
        <v>6</v>
      </c>
      <c r="F15" s="15" t="str">
        <f aca="false">Jugadores!$B$15</f>
        <v>Jugador 11</v>
      </c>
      <c r="G15" s="16"/>
      <c r="H15" s="16"/>
      <c r="I15" s="16"/>
      <c r="J15" s="17" t="str">
        <f aca="false">IF(COUNT(G15:I15)=0,"",G15*55+H15*50+I15*50)</f>
        <v/>
      </c>
      <c r="K15" s="16"/>
      <c r="L15" s="16"/>
      <c r="M15" s="16"/>
      <c r="N15" s="17" t="str">
        <f aca="false">IF(COUNT(K15:M15)=0,"",MAX(K15:M15))</f>
        <v/>
      </c>
      <c r="O15" s="18" t="str">
        <f aca="false">IF(N15="","",IF(N15&gt;=7,"Sin pliometría ni velocidad. Solo isométricos, movilidad y tren superior. Valoración médica",IF(N15&gt;=4,"Sin pliometría el lunes. Sentadilla española 5x45 s","Sesión normal")))</f>
        <v/>
      </c>
      <c r="P15" s="16"/>
      <c r="Q15" s="16"/>
    </row>
    <row r="16" customFormat="false" ht="15" hidden="false" customHeight="false" outlineLevel="0" collapsed="false">
      <c r="A16" s="13" t="n">
        <v>1</v>
      </c>
      <c r="B16" s="14" t="n">
        <v>46272</v>
      </c>
      <c r="C16" s="13" t="s">
        <v>70</v>
      </c>
      <c r="D16" s="13" t="s">
        <v>71</v>
      </c>
      <c r="E16" s="13" t="n">
        <v>6</v>
      </c>
      <c r="F16" s="15" t="str">
        <f aca="false">Jugadores!$B$16</f>
        <v>Jugador 12</v>
      </c>
      <c r="G16" s="16"/>
      <c r="H16" s="16"/>
      <c r="I16" s="16"/>
      <c r="J16" s="17" t="str">
        <f aca="false">IF(COUNT(G16:I16)=0,"",G16*55+H16*50+I16*50)</f>
        <v/>
      </c>
      <c r="K16" s="16"/>
      <c r="L16" s="16"/>
      <c r="M16" s="16"/>
      <c r="N16" s="17" t="str">
        <f aca="false">IF(COUNT(K16:M16)=0,"",MAX(K16:M16))</f>
        <v/>
      </c>
      <c r="O16" s="18" t="str">
        <f aca="false">IF(N16="","",IF(N16&gt;=7,"Sin pliometría ni velocidad. Solo isométricos, movilidad y tren superior. Valoración médica",IF(N16&gt;=4,"Sin pliometría el lunes. Sentadilla española 5x45 s","Sesión normal")))</f>
        <v/>
      </c>
      <c r="P16" s="16"/>
      <c r="Q16" s="16"/>
    </row>
    <row r="17" customFormat="false" ht="15" hidden="false" customHeight="false" outlineLevel="0" collapsed="false">
      <c r="A17" s="13" t="n">
        <v>1</v>
      </c>
      <c r="B17" s="14" t="n">
        <v>46272</v>
      </c>
      <c r="C17" s="13" t="s">
        <v>70</v>
      </c>
      <c r="D17" s="13" t="s">
        <v>71</v>
      </c>
      <c r="E17" s="13" t="n">
        <v>6</v>
      </c>
      <c r="F17" s="15" t="str">
        <f aca="false">Jugadores!$B$17</f>
        <v>Jugador 13</v>
      </c>
      <c r="G17" s="16"/>
      <c r="H17" s="16"/>
      <c r="I17" s="16"/>
      <c r="J17" s="17" t="str">
        <f aca="false">IF(COUNT(G17:I17)=0,"",G17*55+H17*50+I17*50)</f>
        <v/>
      </c>
      <c r="K17" s="16"/>
      <c r="L17" s="16"/>
      <c r="M17" s="16"/>
      <c r="N17" s="17" t="str">
        <f aca="false">IF(COUNT(K17:M17)=0,"",MAX(K17:M17))</f>
        <v/>
      </c>
      <c r="O17" s="18" t="str">
        <f aca="false">IF(N17="","",IF(N17&gt;=7,"Sin pliometría ni velocidad. Solo isométricos, movilidad y tren superior. Valoración médica",IF(N17&gt;=4,"Sin pliometría el lunes. Sentadilla española 5x45 s","Sesión normal")))</f>
        <v/>
      </c>
      <c r="P17" s="16"/>
      <c r="Q17" s="16"/>
    </row>
    <row r="18" customFormat="false" ht="15" hidden="false" customHeight="false" outlineLevel="0" collapsed="false">
      <c r="A18" s="13" t="n">
        <v>1</v>
      </c>
      <c r="B18" s="14" t="n">
        <v>46272</v>
      </c>
      <c r="C18" s="13" t="s">
        <v>70</v>
      </c>
      <c r="D18" s="13" t="s">
        <v>71</v>
      </c>
      <c r="E18" s="13" t="n">
        <v>6</v>
      </c>
      <c r="F18" s="15" t="str">
        <f aca="false">Jugadores!$B$18</f>
        <v>Jugador 14</v>
      </c>
      <c r="G18" s="16"/>
      <c r="H18" s="16"/>
      <c r="I18" s="16"/>
      <c r="J18" s="17" t="str">
        <f aca="false">IF(COUNT(G18:I18)=0,"",G18*55+H18*50+I18*50)</f>
        <v/>
      </c>
      <c r="K18" s="16"/>
      <c r="L18" s="16"/>
      <c r="M18" s="16"/>
      <c r="N18" s="17" t="str">
        <f aca="false">IF(COUNT(K18:M18)=0,"",MAX(K18:M18))</f>
        <v/>
      </c>
      <c r="O18" s="18" t="str">
        <f aca="false">IF(N18="","",IF(N18&gt;=7,"Sin pliometría ni velocidad. Solo isométricos, movilidad y tren superior. Valoración médica",IF(N18&gt;=4,"Sin pliometría el lunes. Sentadilla española 5x45 s","Sesión normal")))</f>
        <v/>
      </c>
      <c r="P18" s="16"/>
      <c r="Q18" s="16"/>
    </row>
    <row r="19" customFormat="false" ht="15" hidden="false" customHeight="false" outlineLevel="0" collapsed="false">
      <c r="A19" s="13" t="n">
        <v>2</v>
      </c>
      <c r="B19" s="14" t="n">
        <v>46279</v>
      </c>
      <c r="C19" s="13" t="s">
        <v>70</v>
      </c>
      <c r="D19" s="13" t="s">
        <v>71</v>
      </c>
      <c r="E19" s="13" t="n">
        <v>8</v>
      </c>
      <c r="F19" s="15" t="str">
        <f aca="false">Jugadores!$B$5</f>
        <v>Jugador 1</v>
      </c>
      <c r="G19" s="16"/>
      <c r="H19" s="16"/>
      <c r="I19" s="16"/>
      <c r="J19" s="17" t="str">
        <f aca="false">IF(COUNT(G19:I19)=0,"",G19*55+H19*50+I19*50)</f>
        <v/>
      </c>
      <c r="K19" s="16"/>
      <c r="L19" s="16"/>
      <c r="M19" s="16"/>
      <c r="N19" s="17" t="str">
        <f aca="false">IF(COUNT(K19:M19)=0,"",MAX(K19:M19))</f>
        <v/>
      </c>
      <c r="O19" s="18" t="str">
        <f aca="false">IF(N19="","",IF(N19&gt;=7,"Sin pliometría ni velocidad. Solo isométricos, movilidad y tren superior. Valoración médica",IF(N19&gt;=4,"Sin pliometría el lunes. Sentadilla española 5x45 s","Sesión normal")))</f>
        <v/>
      </c>
      <c r="P19" s="16"/>
      <c r="Q19" s="16"/>
    </row>
    <row r="20" customFormat="false" ht="15" hidden="false" customHeight="false" outlineLevel="0" collapsed="false">
      <c r="A20" s="13" t="n">
        <v>2</v>
      </c>
      <c r="B20" s="14" t="n">
        <v>46279</v>
      </c>
      <c r="C20" s="13" t="s">
        <v>70</v>
      </c>
      <c r="D20" s="13" t="s">
        <v>71</v>
      </c>
      <c r="E20" s="13" t="n">
        <v>8</v>
      </c>
      <c r="F20" s="15" t="str">
        <f aca="false">Jugadores!$B$6</f>
        <v>Jugador 2</v>
      </c>
      <c r="G20" s="16"/>
      <c r="H20" s="16"/>
      <c r="I20" s="16"/>
      <c r="J20" s="17" t="str">
        <f aca="false">IF(COUNT(G20:I20)=0,"",G20*55+H20*50+I20*50)</f>
        <v/>
      </c>
      <c r="K20" s="16"/>
      <c r="L20" s="16"/>
      <c r="M20" s="16"/>
      <c r="N20" s="17" t="str">
        <f aca="false">IF(COUNT(K20:M20)=0,"",MAX(K20:M20))</f>
        <v/>
      </c>
      <c r="O20" s="18" t="str">
        <f aca="false">IF(N20="","",IF(N20&gt;=7,"Sin pliometría ni velocidad. Solo isométricos, movilidad y tren superior. Valoración médica",IF(N20&gt;=4,"Sin pliometría el lunes. Sentadilla española 5x45 s","Sesión normal")))</f>
        <v/>
      </c>
      <c r="P20" s="16"/>
      <c r="Q20" s="16"/>
    </row>
    <row r="21" customFormat="false" ht="15" hidden="false" customHeight="false" outlineLevel="0" collapsed="false">
      <c r="A21" s="13" t="n">
        <v>2</v>
      </c>
      <c r="B21" s="14" t="n">
        <v>46279</v>
      </c>
      <c r="C21" s="13" t="s">
        <v>70</v>
      </c>
      <c r="D21" s="13" t="s">
        <v>71</v>
      </c>
      <c r="E21" s="13" t="n">
        <v>8</v>
      </c>
      <c r="F21" s="15" t="str">
        <f aca="false">Jugadores!$B$7</f>
        <v>Jugador 3</v>
      </c>
      <c r="G21" s="16"/>
      <c r="H21" s="16"/>
      <c r="I21" s="16"/>
      <c r="J21" s="17" t="str">
        <f aca="false">IF(COUNT(G21:I21)=0,"",G21*55+H21*50+I21*50)</f>
        <v/>
      </c>
      <c r="K21" s="16"/>
      <c r="L21" s="16"/>
      <c r="M21" s="16"/>
      <c r="N21" s="17" t="str">
        <f aca="false">IF(COUNT(K21:M21)=0,"",MAX(K21:M21))</f>
        <v/>
      </c>
      <c r="O21" s="18" t="str">
        <f aca="false">IF(N21="","",IF(N21&gt;=7,"Sin pliometría ni velocidad. Solo isométricos, movilidad y tren superior. Valoración médica",IF(N21&gt;=4,"Sin pliometría el lunes. Sentadilla española 5x45 s","Sesión normal")))</f>
        <v/>
      </c>
      <c r="P21" s="16"/>
      <c r="Q21" s="16"/>
    </row>
    <row r="22" customFormat="false" ht="15" hidden="false" customHeight="false" outlineLevel="0" collapsed="false">
      <c r="A22" s="13" t="n">
        <v>2</v>
      </c>
      <c r="B22" s="14" t="n">
        <v>46279</v>
      </c>
      <c r="C22" s="13" t="s">
        <v>70</v>
      </c>
      <c r="D22" s="13" t="s">
        <v>71</v>
      </c>
      <c r="E22" s="13" t="n">
        <v>8</v>
      </c>
      <c r="F22" s="15" t="str">
        <f aca="false">Jugadores!$B$8</f>
        <v>Jugador 4</v>
      </c>
      <c r="G22" s="16"/>
      <c r="H22" s="16"/>
      <c r="I22" s="16"/>
      <c r="J22" s="17" t="str">
        <f aca="false">IF(COUNT(G22:I22)=0,"",G22*55+H22*50+I22*50)</f>
        <v/>
      </c>
      <c r="K22" s="16"/>
      <c r="L22" s="16"/>
      <c r="M22" s="16"/>
      <c r="N22" s="17" t="str">
        <f aca="false">IF(COUNT(K22:M22)=0,"",MAX(K22:M22))</f>
        <v/>
      </c>
      <c r="O22" s="18" t="str">
        <f aca="false">IF(N22="","",IF(N22&gt;=7,"Sin pliometría ni velocidad. Solo isométricos, movilidad y tren superior. Valoración médica",IF(N22&gt;=4,"Sin pliometría el lunes. Sentadilla española 5x45 s","Sesión normal")))</f>
        <v/>
      </c>
      <c r="P22" s="16"/>
      <c r="Q22" s="16"/>
    </row>
    <row r="23" customFormat="false" ht="15" hidden="false" customHeight="false" outlineLevel="0" collapsed="false">
      <c r="A23" s="13" t="n">
        <v>2</v>
      </c>
      <c r="B23" s="14" t="n">
        <v>46279</v>
      </c>
      <c r="C23" s="13" t="s">
        <v>70</v>
      </c>
      <c r="D23" s="13" t="s">
        <v>71</v>
      </c>
      <c r="E23" s="13" t="n">
        <v>8</v>
      </c>
      <c r="F23" s="15" t="str">
        <f aca="false">Jugadores!$B$9</f>
        <v>Jugador 5</v>
      </c>
      <c r="G23" s="16"/>
      <c r="H23" s="16"/>
      <c r="I23" s="16"/>
      <c r="J23" s="17" t="str">
        <f aca="false">IF(COUNT(G23:I23)=0,"",G23*55+H23*50+I23*50)</f>
        <v/>
      </c>
      <c r="K23" s="16"/>
      <c r="L23" s="16"/>
      <c r="M23" s="16"/>
      <c r="N23" s="17" t="str">
        <f aca="false">IF(COUNT(K23:M23)=0,"",MAX(K23:M23))</f>
        <v/>
      </c>
      <c r="O23" s="18" t="str">
        <f aca="false">IF(N23="","",IF(N23&gt;=7,"Sin pliometría ni velocidad. Solo isométricos, movilidad y tren superior. Valoración médica",IF(N23&gt;=4,"Sin pliometría el lunes. Sentadilla española 5x45 s","Sesión normal")))</f>
        <v/>
      </c>
      <c r="P23" s="16"/>
      <c r="Q23" s="16"/>
    </row>
    <row r="24" customFormat="false" ht="15" hidden="false" customHeight="false" outlineLevel="0" collapsed="false">
      <c r="A24" s="13" t="n">
        <v>2</v>
      </c>
      <c r="B24" s="14" t="n">
        <v>46279</v>
      </c>
      <c r="C24" s="13" t="s">
        <v>70</v>
      </c>
      <c r="D24" s="13" t="s">
        <v>71</v>
      </c>
      <c r="E24" s="13" t="n">
        <v>8</v>
      </c>
      <c r="F24" s="15" t="str">
        <f aca="false">Jugadores!$B$10</f>
        <v>Jugador 6</v>
      </c>
      <c r="G24" s="16"/>
      <c r="H24" s="16"/>
      <c r="I24" s="16"/>
      <c r="J24" s="17" t="str">
        <f aca="false">IF(COUNT(G24:I24)=0,"",G24*55+H24*50+I24*50)</f>
        <v/>
      </c>
      <c r="K24" s="16"/>
      <c r="L24" s="16"/>
      <c r="M24" s="16"/>
      <c r="N24" s="17" t="str">
        <f aca="false">IF(COUNT(K24:M24)=0,"",MAX(K24:M24))</f>
        <v/>
      </c>
      <c r="O24" s="18" t="str">
        <f aca="false">IF(N24="","",IF(N24&gt;=7,"Sin pliometría ni velocidad. Solo isométricos, movilidad y tren superior. Valoración médica",IF(N24&gt;=4,"Sin pliometría el lunes. Sentadilla española 5x45 s","Sesión normal")))</f>
        <v/>
      </c>
      <c r="P24" s="16"/>
      <c r="Q24" s="16"/>
    </row>
    <row r="25" customFormat="false" ht="15" hidden="false" customHeight="false" outlineLevel="0" collapsed="false">
      <c r="A25" s="13" t="n">
        <v>2</v>
      </c>
      <c r="B25" s="14" t="n">
        <v>46279</v>
      </c>
      <c r="C25" s="13" t="s">
        <v>70</v>
      </c>
      <c r="D25" s="13" t="s">
        <v>71</v>
      </c>
      <c r="E25" s="13" t="n">
        <v>8</v>
      </c>
      <c r="F25" s="15" t="str">
        <f aca="false">Jugadores!$B$11</f>
        <v>Jugador 7</v>
      </c>
      <c r="G25" s="16"/>
      <c r="H25" s="16"/>
      <c r="I25" s="16"/>
      <c r="J25" s="17" t="str">
        <f aca="false">IF(COUNT(G25:I25)=0,"",G25*55+H25*50+I25*50)</f>
        <v/>
      </c>
      <c r="K25" s="16"/>
      <c r="L25" s="16"/>
      <c r="M25" s="16"/>
      <c r="N25" s="17" t="str">
        <f aca="false">IF(COUNT(K25:M25)=0,"",MAX(K25:M25))</f>
        <v/>
      </c>
      <c r="O25" s="18" t="str">
        <f aca="false">IF(N25="","",IF(N25&gt;=7,"Sin pliometría ni velocidad. Solo isométricos, movilidad y tren superior. Valoración médica",IF(N25&gt;=4,"Sin pliometría el lunes. Sentadilla española 5x45 s","Sesión normal")))</f>
        <v/>
      </c>
      <c r="P25" s="16"/>
      <c r="Q25" s="16"/>
    </row>
    <row r="26" customFormat="false" ht="15" hidden="false" customHeight="false" outlineLevel="0" collapsed="false">
      <c r="A26" s="13" t="n">
        <v>2</v>
      </c>
      <c r="B26" s="14" t="n">
        <v>46279</v>
      </c>
      <c r="C26" s="13" t="s">
        <v>70</v>
      </c>
      <c r="D26" s="13" t="s">
        <v>71</v>
      </c>
      <c r="E26" s="13" t="n">
        <v>8</v>
      </c>
      <c r="F26" s="15" t="str">
        <f aca="false">Jugadores!$B$12</f>
        <v>Jugador 8</v>
      </c>
      <c r="G26" s="16"/>
      <c r="H26" s="16"/>
      <c r="I26" s="16"/>
      <c r="J26" s="17" t="str">
        <f aca="false">IF(COUNT(G26:I26)=0,"",G26*55+H26*50+I26*50)</f>
        <v/>
      </c>
      <c r="K26" s="16"/>
      <c r="L26" s="16"/>
      <c r="M26" s="16"/>
      <c r="N26" s="17" t="str">
        <f aca="false">IF(COUNT(K26:M26)=0,"",MAX(K26:M26))</f>
        <v/>
      </c>
      <c r="O26" s="18" t="str">
        <f aca="false">IF(N26="","",IF(N26&gt;=7,"Sin pliometría ni velocidad. Solo isométricos, movilidad y tren superior. Valoración médica",IF(N26&gt;=4,"Sin pliometría el lunes. Sentadilla española 5x45 s","Sesión normal")))</f>
        <v/>
      </c>
      <c r="P26" s="16"/>
      <c r="Q26" s="16"/>
    </row>
    <row r="27" customFormat="false" ht="15" hidden="false" customHeight="false" outlineLevel="0" collapsed="false">
      <c r="A27" s="13" t="n">
        <v>2</v>
      </c>
      <c r="B27" s="14" t="n">
        <v>46279</v>
      </c>
      <c r="C27" s="13" t="s">
        <v>70</v>
      </c>
      <c r="D27" s="13" t="s">
        <v>71</v>
      </c>
      <c r="E27" s="13" t="n">
        <v>8</v>
      </c>
      <c r="F27" s="15" t="str">
        <f aca="false">Jugadores!$B$13</f>
        <v>Jugador 9</v>
      </c>
      <c r="G27" s="16"/>
      <c r="H27" s="16"/>
      <c r="I27" s="16"/>
      <c r="J27" s="17" t="str">
        <f aca="false">IF(COUNT(G27:I27)=0,"",G27*55+H27*50+I27*50)</f>
        <v/>
      </c>
      <c r="K27" s="16"/>
      <c r="L27" s="16"/>
      <c r="M27" s="16"/>
      <c r="N27" s="17" t="str">
        <f aca="false">IF(COUNT(K27:M27)=0,"",MAX(K27:M27))</f>
        <v/>
      </c>
      <c r="O27" s="18" t="str">
        <f aca="false">IF(N27="","",IF(N27&gt;=7,"Sin pliometría ni velocidad. Solo isométricos, movilidad y tren superior. Valoración médica",IF(N27&gt;=4,"Sin pliometría el lunes. Sentadilla española 5x45 s","Sesión normal")))</f>
        <v/>
      </c>
      <c r="P27" s="16"/>
      <c r="Q27" s="16"/>
    </row>
    <row r="28" customFormat="false" ht="15" hidden="false" customHeight="false" outlineLevel="0" collapsed="false">
      <c r="A28" s="13" t="n">
        <v>2</v>
      </c>
      <c r="B28" s="14" t="n">
        <v>46279</v>
      </c>
      <c r="C28" s="13" t="s">
        <v>70</v>
      </c>
      <c r="D28" s="13" t="s">
        <v>71</v>
      </c>
      <c r="E28" s="13" t="n">
        <v>8</v>
      </c>
      <c r="F28" s="15" t="str">
        <f aca="false">Jugadores!$B$14</f>
        <v>Jugador 10</v>
      </c>
      <c r="G28" s="16"/>
      <c r="H28" s="16"/>
      <c r="I28" s="16"/>
      <c r="J28" s="17" t="str">
        <f aca="false">IF(COUNT(G28:I28)=0,"",G28*55+H28*50+I28*50)</f>
        <v/>
      </c>
      <c r="K28" s="16"/>
      <c r="L28" s="16"/>
      <c r="M28" s="16"/>
      <c r="N28" s="17" t="str">
        <f aca="false">IF(COUNT(K28:M28)=0,"",MAX(K28:M28))</f>
        <v/>
      </c>
      <c r="O28" s="18" t="str">
        <f aca="false">IF(N28="","",IF(N28&gt;=7,"Sin pliometría ni velocidad. Solo isométricos, movilidad y tren superior. Valoración médica",IF(N28&gt;=4,"Sin pliometría el lunes. Sentadilla española 5x45 s","Sesión normal")))</f>
        <v/>
      </c>
      <c r="P28" s="16"/>
      <c r="Q28" s="16"/>
    </row>
    <row r="29" customFormat="false" ht="15" hidden="false" customHeight="false" outlineLevel="0" collapsed="false">
      <c r="A29" s="13" t="n">
        <v>2</v>
      </c>
      <c r="B29" s="14" t="n">
        <v>46279</v>
      </c>
      <c r="C29" s="13" t="s">
        <v>70</v>
      </c>
      <c r="D29" s="13" t="s">
        <v>71</v>
      </c>
      <c r="E29" s="13" t="n">
        <v>8</v>
      </c>
      <c r="F29" s="15" t="str">
        <f aca="false">Jugadores!$B$15</f>
        <v>Jugador 11</v>
      </c>
      <c r="G29" s="16"/>
      <c r="H29" s="16"/>
      <c r="I29" s="16"/>
      <c r="J29" s="17" t="str">
        <f aca="false">IF(COUNT(G29:I29)=0,"",G29*55+H29*50+I29*50)</f>
        <v/>
      </c>
      <c r="K29" s="16"/>
      <c r="L29" s="16"/>
      <c r="M29" s="16"/>
      <c r="N29" s="17" t="str">
        <f aca="false">IF(COUNT(K29:M29)=0,"",MAX(K29:M29))</f>
        <v/>
      </c>
      <c r="O29" s="18" t="str">
        <f aca="false">IF(N29="","",IF(N29&gt;=7,"Sin pliometría ni velocidad. Solo isométricos, movilidad y tren superior. Valoración médica",IF(N29&gt;=4,"Sin pliometría el lunes. Sentadilla española 5x45 s","Sesión normal")))</f>
        <v/>
      </c>
      <c r="P29" s="16"/>
      <c r="Q29" s="16"/>
    </row>
    <row r="30" customFormat="false" ht="15" hidden="false" customHeight="false" outlineLevel="0" collapsed="false">
      <c r="A30" s="13" t="n">
        <v>2</v>
      </c>
      <c r="B30" s="14" t="n">
        <v>46279</v>
      </c>
      <c r="C30" s="13" t="s">
        <v>70</v>
      </c>
      <c r="D30" s="13" t="s">
        <v>71</v>
      </c>
      <c r="E30" s="13" t="n">
        <v>8</v>
      </c>
      <c r="F30" s="15" t="str">
        <f aca="false">Jugadores!$B$16</f>
        <v>Jugador 12</v>
      </c>
      <c r="G30" s="16"/>
      <c r="H30" s="16"/>
      <c r="I30" s="16"/>
      <c r="J30" s="17" t="str">
        <f aca="false">IF(COUNT(G30:I30)=0,"",G30*55+H30*50+I30*50)</f>
        <v/>
      </c>
      <c r="K30" s="16"/>
      <c r="L30" s="16"/>
      <c r="M30" s="16"/>
      <c r="N30" s="17" t="str">
        <f aca="false">IF(COUNT(K30:M30)=0,"",MAX(K30:M30))</f>
        <v/>
      </c>
      <c r="O30" s="18" t="str">
        <f aca="false">IF(N30="","",IF(N30&gt;=7,"Sin pliometría ni velocidad. Solo isométricos, movilidad y tren superior. Valoración médica",IF(N30&gt;=4,"Sin pliometría el lunes. Sentadilla española 5x45 s","Sesión normal")))</f>
        <v/>
      </c>
      <c r="P30" s="16"/>
      <c r="Q30" s="16"/>
    </row>
    <row r="31" customFormat="false" ht="15" hidden="false" customHeight="false" outlineLevel="0" collapsed="false">
      <c r="A31" s="13" t="n">
        <v>2</v>
      </c>
      <c r="B31" s="14" t="n">
        <v>46279</v>
      </c>
      <c r="C31" s="13" t="s">
        <v>70</v>
      </c>
      <c r="D31" s="13" t="s">
        <v>71</v>
      </c>
      <c r="E31" s="13" t="n">
        <v>8</v>
      </c>
      <c r="F31" s="15" t="str">
        <f aca="false">Jugadores!$B$17</f>
        <v>Jugador 13</v>
      </c>
      <c r="G31" s="16"/>
      <c r="H31" s="16"/>
      <c r="I31" s="16"/>
      <c r="J31" s="17" t="str">
        <f aca="false">IF(COUNT(G31:I31)=0,"",G31*55+H31*50+I31*50)</f>
        <v/>
      </c>
      <c r="K31" s="16"/>
      <c r="L31" s="16"/>
      <c r="M31" s="16"/>
      <c r="N31" s="17" t="str">
        <f aca="false">IF(COUNT(K31:M31)=0,"",MAX(K31:M31))</f>
        <v/>
      </c>
      <c r="O31" s="18" t="str">
        <f aca="false">IF(N31="","",IF(N31&gt;=7,"Sin pliometría ni velocidad. Solo isométricos, movilidad y tren superior. Valoración médica",IF(N31&gt;=4,"Sin pliometría el lunes. Sentadilla española 5x45 s","Sesión normal")))</f>
        <v/>
      </c>
      <c r="P31" s="16"/>
      <c r="Q31" s="16"/>
    </row>
    <row r="32" customFormat="false" ht="15" hidden="false" customHeight="false" outlineLevel="0" collapsed="false">
      <c r="A32" s="13" t="n">
        <v>2</v>
      </c>
      <c r="B32" s="14" t="n">
        <v>46279</v>
      </c>
      <c r="C32" s="13" t="s">
        <v>70</v>
      </c>
      <c r="D32" s="13" t="s">
        <v>71</v>
      </c>
      <c r="E32" s="13" t="n">
        <v>8</v>
      </c>
      <c r="F32" s="15" t="str">
        <f aca="false">Jugadores!$B$18</f>
        <v>Jugador 14</v>
      </c>
      <c r="G32" s="16"/>
      <c r="H32" s="16"/>
      <c r="I32" s="16"/>
      <c r="J32" s="17" t="str">
        <f aca="false">IF(COUNT(G32:I32)=0,"",G32*55+H32*50+I32*50)</f>
        <v/>
      </c>
      <c r="K32" s="16"/>
      <c r="L32" s="16"/>
      <c r="M32" s="16"/>
      <c r="N32" s="17" t="str">
        <f aca="false">IF(COUNT(K32:M32)=0,"",MAX(K32:M32))</f>
        <v/>
      </c>
      <c r="O32" s="18" t="str">
        <f aca="false">IF(N32="","",IF(N32&gt;=7,"Sin pliometría ni velocidad. Solo isométricos, movilidad y tren superior. Valoración médica",IF(N32&gt;=4,"Sin pliometría el lunes. Sentadilla española 5x45 s","Sesión normal")))</f>
        <v/>
      </c>
      <c r="P32" s="16"/>
      <c r="Q32" s="16"/>
    </row>
    <row r="33" customFormat="false" ht="15" hidden="false" customHeight="false" outlineLevel="0" collapsed="false">
      <c r="A33" s="13" t="n">
        <v>3</v>
      </c>
      <c r="B33" s="14" t="n">
        <v>46286</v>
      </c>
      <c r="C33" s="13" t="s">
        <v>70</v>
      </c>
      <c r="D33" s="13" t="s">
        <v>72</v>
      </c>
      <c r="E33" s="13" t="n">
        <v>9</v>
      </c>
      <c r="F33" s="15" t="str">
        <f aca="false">Jugadores!$B$5</f>
        <v>Jugador 1</v>
      </c>
      <c r="G33" s="16"/>
      <c r="H33" s="16"/>
      <c r="I33" s="16"/>
      <c r="J33" s="17" t="str">
        <f aca="false">IF(COUNT(G33:I33)=0,"",G33*55+H33*50+I33*50)</f>
        <v/>
      </c>
      <c r="K33" s="16"/>
      <c r="L33" s="16"/>
      <c r="M33" s="16"/>
      <c r="N33" s="17" t="str">
        <f aca="false">IF(COUNT(K33:M33)=0,"",MAX(K33:M33))</f>
        <v/>
      </c>
      <c r="O33" s="18" t="str">
        <f aca="false">IF(N33="","",IF(N33&gt;=7,"Sin pliometría ni velocidad. Solo isométricos, movilidad y tren superior. Valoración médica",IF(N33&gt;=4,"Sin pliometría el lunes. Sentadilla española 5x45 s","Sesión normal")))</f>
        <v/>
      </c>
      <c r="P33" s="16"/>
      <c r="Q33" s="16"/>
    </row>
    <row r="34" customFormat="false" ht="15" hidden="false" customHeight="false" outlineLevel="0" collapsed="false">
      <c r="A34" s="13" t="n">
        <v>3</v>
      </c>
      <c r="B34" s="14" t="n">
        <v>46286</v>
      </c>
      <c r="C34" s="13" t="s">
        <v>70</v>
      </c>
      <c r="D34" s="13" t="s">
        <v>72</v>
      </c>
      <c r="E34" s="13" t="n">
        <v>9</v>
      </c>
      <c r="F34" s="15" t="str">
        <f aca="false">Jugadores!$B$6</f>
        <v>Jugador 2</v>
      </c>
      <c r="G34" s="16"/>
      <c r="H34" s="16"/>
      <c r="I34" s="16"/>
      <c r="J34" s="17" t="str">
        <f aca="false">IF(COUNT(G34:I34)=0,"",G34*55+H34*50+I34*50)</f>
        <v/>
      </c>
      <c r="K34" s="16"/>
      <c r="L34" s="16"/>
      <c r="M34" s="16"/>
      <c r="N34" s="17" t="str">
        <f aca="false">IF(COUNT(K34:M34)=0,"",MAX(K34:M34))</f>
        <v/>
      </c>
      <c r="O34" s="18" t="str">
        <f aca="false">IF(N34="","",IF(N34&gt;=7,"Sin pliometría ni velocidad. Solo isométricos, movilidad y tren superior. Valoración médica",IF(N34&gt;=4,"Sin pliometría el lunes. Sentadilla española 5x45 s","Sesión normal")))</f>
        <v/>
      </c>
      <c r="P34" s="16"/>
      <c r="Q34" s="16"/>
    </row>
    <row r="35" customFormat="false" ht="15" hidden="false" customHeight="false" outlineLevel="0" collapsed="false">
      <c r="A35" s="13" t="n">
        <v>3</v>
      </c>
      <c r="B35" s="14" t="n">
        <v>46286</v>
      </c>
      <c r="C35" s="13" t="s">
        <v>70</v>
      </c>
      <c r="D35" s="13" t="s">
        <v>72</v>
      </c>
      <c r="E35" s="13" t="n">
        <v>9</v>
      </c>
      <c r="F35" s="15" t="str">
        <f aca="false">Jugadores!$B$7</f>
        <v>Jugador 3</v>
      </c>
      <c r="G35" s="16"/>
      <c r="H35" s="16"/>
      <c r="I35" s="16"/>
      <c r="J35" s="17" t="str">
        <f aca="false">IF(COUNT(G35:I35)=0,"",G35*55+H35*50+I35*50)</f>
        <v/>
      </c>
      <c r="K35" s="16"/>
      <c r="L35" s="16"/>
      <c r="M35" s="16"/>
      <c r="N35" s="17" t="str">
        <f aca="false">IF(COUNT(K35:M35)=0,"",MAX(K35:M35))</f>
        <v/>
      </c>
      <c r="O35" s="18" t="str">
        <f aca="false">IF(N35="","",IF(N35&gt;=7,"Sin pliometría ni velocidad. Solo isométricos, movilidad y tren superior. Valoración médica",IF(N35&gt;=4,"Sin pliometría el lunes. Sentadilla española 5x45 s","Sesión normal")))</f>
        <v/>
      </c>
      <c r="P35" s="16"/>
      <c r="Q35" s="16"/>
    </row>
    <row r="36" customFormat="false" ht="15" hidden="false" customHeight="false" outlineLevel="0" collapsed="false">
      <c r="A36" s="13" t="n">
        <v>3</v>
      </c>
      <c r="B36" s="14" t="n">
        <v>46286</v>
      </c>
      <c r="C36" s="13" t="s">
        <v>70</v>
      </c>
      <c r="D36" s="13" t="s">
        <v>72</v>
      </c>
      <c r="E36" s="13" t="n">
        <v>9</v>
      </c>
      <c r="F36" s="15" t="str">
        <f aca="false">Jugadores!$B$8</f>
        <v>Jugador 4</v>
      </c>
      <c r="G36" s="16"/>
      <c r="H36" s="16"/>
      <c r="I36" s="16"/>
      <c r="J36" s="17" t="str">
        <f aca="false">IF(COUNT(G36:I36)=0,"",G36*55+H36*50+I36*50)</f>
        <v/>
      </c>
      <c r="K36" s="16"/>
      <c r="L36" s="16"/>
      <c r="M36" s="16"/>
      <c r="N36" s="17" t="str">
        <f aca="false">IF(COUNT(K36:M36)=0,"",MAX(K36:M36))</f>
        <v/>
      </c>
      <c r="O36" s="18" t="str">
        <f aca="false">IF(N36="","",IF(N36&gt;=7,"Sin pliometría ni velocidad. Solo isométricos, movilidad y tren superior. Valoración médica",IF(N36&gt;=4,"Sin pliometría el lunes. Sentadilla española 5x45 s","Sesión normal")))</f>
        <v/>
      </c>
      <c r="P36" s="16"/>
      <c r="Q36" s="16"/>
    </row>
    <row r="37" customFormat="false" ht="15" hidden="false" customHeight="false" outlineLevel="0" collapsed="false">
      <c r="A37" s="13" t="n">
        <v>3</v>
      </c>
      <c r="B37" s="14" t="n">
        <v>46286</v>
      </c>
      <c r="C37" s="13" t="s">
        <v>70</v>
      </c>
      <c r="D37" s="13" t="s">
        <v>72</v>
      </c>
      <c r="E37" s="13" t="n">
        <v>9</v>
      </c>
      <c r="F37" s="15" t="str">
        <f aca="false">Jugadores!$B$9</f>
        <v>Jugador 5</v>
      </c>
      <c r="G37" s="16"/>
      <c r="H37" s="16"/>
      <c r="I37" s="16"/>
      <c r="J37" s="17" t="str">
        <f aca="false">IF(COUNT(G37:I37)=0,"",G37*55+H37*50+I37*50)</f>
        <v/>
      </c>
      <c r="K37" s="16"/>
      <c r="L37" s="16"/>
      <c r="M37" s="16"/>
      <c r="N37" s="17" t="str">
        <f aca="false">IF(COUNT(K37:M37)=0,"",MAX(K37:M37))</f>
        <v/>
      </c>
      <c r="O37" s="18" t="str">
        <f aca="false">IF(N37="","",IF(N37&gt;=7,"Sin pliometría ni velocidad. Solo isométricos, movilidad y tren superior. Valoración médica",IF(N37&gt;=4,"Sin pliometría el lunes. Sentadilla española 5x45 s","Sesión normal")))</f>
        <v/>
      </c>
      <c r="P37" s="16"/>
      <c r="Q37" s="16"/>
    </row>
    <row r="38" customFormat="false" ht="15" hidden="false" customHeight="false" outlineLevel="0" collapsed="false">
      <c r="A38" s="13" t="n">
        <v>3</v>
      </c>
      <c r="B38" s="14" t="n">
        <v>46286</v>
      </c>
      <c r="C38" s="13" t="s">
        <v>70</v>
      </c>
      <c r="D38" s="13" t="s">
        <v>72</v>
      </c>
      <c r="E38" s="13" t="n">
        <v>9</v>
      </c>
      <c r="F38" s="15" t="str">
        <f aca="false">Jugadores!$B$10</f>
        <v>Jugador 6</v>
      </c>
      <c r="G38" s="16"/>
      <c r="H38" s="16"/>
      <c r="I38" s="16"/>
      <c r="J38" s="17" t="str">
        <f aca="false">IF(COUNT(G38:I38)=0,"",G38*55+H38*50+I38*50)</f>
        <v/>
      </c>
      <c r="K38" s="16"/>
      <c r="L38" s="16"/>
      <c r="M38" s="16"/>
      <c r="N38" s="17" t="str">
        <f aca="false">IF(COUNT(K38:M38)=0,"",MAX(K38:M38))</f>
        <v/>
      </c>
      <c r="O38" s="18" t="str">
        <f aca="false">IF(N38="","",IF(N38&gt;=7,"Sin pliometría ni velocidad. Solo isométricos, movilidad y tren superior. Valoración médica",IF(N38&gt;=4,"Sin pliometría el lunes. Sentadilla española 5x45 s","Sesión normal")))</f>
        <v/>
      </c>
      <c r="P38" s="16"/>
      <c r="Q38" s="16"/>
    </row>
    <row r="39" customFormat="false" ht="15" hidden="false" customHeight="false" outlineLevel="0" collapsed="false">
      <c r="A39" s="13" t="n">
        <v>3</v>
      </c>
      <c r="B39" s="14" t="n">
        <v>46286</v>
      </c>
      <c r="C39" s="13" t="s">
        <v>70</v>
      </c>
      <c r="D39" s="13" t="s">
        <v>72</v>
      </c>
      <c r="E39" s="13" t="n">
        <v>9</v>
      </c>
      <c r="F39" s="15" t="str">
        <f aca="false">Jugadores!$B$11</f>
        <v>Jugador 7</v>
      </c>
      <c r="G39" s="16"/>
      <c r="H39" s="16"/>
      <c r="I39" s="16"/>
      <c r="J39" s="17" t="str">
        <f aca="false">IF(COUNT(G39:I39)=0,"",G39*55+H39*50+I39*50)</f>
        <v/>
      </c>
      <c r="K39" s="16"/>
      <c r="L39" s="16"/>
      <c r="M39" s="16"/>
      <c r="N39" s="17" t="str">
        <f aca="false">IF(COUNT(K39:M39)=0,"",MAX(K39:M39))</f>
        <v/>
      </c>
      <c r="O39" s="18" t="str">
        <f aca="false">IF(N39="","",IF(N39&gt;=7,"Sin pliometría ni velocidad. Solo isométricos, movilidad y tren superior. Valoración médica",IF(N39&gt;=4,"Sin pliometría el lunes. Sentadilla española 5x45 s","Sesión normal")))</f>
        <v/>
      </c>
      <c r="P39" s="16"/>
      <c r="Q39" s="16"/>
    </row>
    <row r="40" customFormat="false" ht="15" hidden="false" customHeight="false" outlineLevel="0" collapsed="false">
      <c r="A40" s="13" t="n">
        <v>3</v>
      </c>
      <c r="B40" s="14" t="n">
        <v>46286</v>
      </c>
      <c r="C40" s="13" t="s">
        <v>70</v>
      </c>
      <c r="D40" s="13" t="s">
        <v>72</v>
      </c>
      <c r="E40" s="13" t="n">
        <v>9</v>
      </c>
      <c r="F40" s="15" t="str">
        <f aca="false">Jugadores!$B$12</f>
        <v>Jugador 8</v>
      </c>
      <c r="G40" s="16"/>
      <c r="H40" s="16"/>
      <c r="I40" s="16"/>
      <c r="J40" s="17" t="str">
        <f aca="false">IF(COUNT(G40:I40)=0,"",G40*55+H40*50+I40*50)</f>
        <v/>
      </c>
      <c r="K40" s="16"/>
      <c r="L40" s="16"/>
      <c r="M40" s="16"/>
      <c r="N40" s="17" t="str">
        <f aca="false">IF(COUNT(K40:M40)=0,"",MAX(K40:M40))</f>
        <v/>
      </c>
      <c r="O40" s="18" t="str">
        <f aca="false">IF(N40="","",IF(N40&gt;=7,"Sin pliometría ni velocidad. Solo isométricos, movilidad y tren superior. Valoración médica",IF(N40&gt;=4,"Sin pliometría el lunes. Sentadilla española 5x45 s","Sesión normal")))</f>
        <v/>
      </c>
      <c r="P40" s="16"/>
      <c r="Q40" s="16"/>
    </row>
    <row r="41" customFormat="false" ht="15" hidden="false" customHeight="false" outlineLevel="0" collapsed="false">
      <c r="A41" s="13" t="n">
        <v>3</v>
      </c>
      <c r="B41" s="14" t="n">
        <v>46286</v>
      </c>
      <c r="C41" s="13" t="s">
        <v>70</v>
      </c>
      <c r="D41" s="13" t="s">
        <v>72</v>
      </c>
      <c r="E41" s="13" t="n">
        <v>9</v>
      </c>
      <c r="F41" s="15" t="str">
        <f aca="false">Jugadores!$B$13</f>
        <v>Jugador 9</v>
      </c>
      <c r="G41" s="16"/>
      <c r="H41" s="16"/>
      <c r="I41" s="16"/>
      <c r="J41" s="17" t="str">
        <f aca="false">IF(COUNT(G41:I41)=0,"",G41*55+H41*50+I41*50)</f>
        <v/>
      </c>
      <c r="K41" s="16"/>
      <c r="L41" s="16"/>
      <c r="M41" s="16"/>
      <c r="N41" s="17" t="str">
        <f aca="false">IF(COUNT(K41:M41)=0,"",MAX(K41:M41))</f>
        <v/>
      </c>
      <c r="O41" s="18" t="str">
        <f aca="false">IF(N41="","",IF(N41&gt;=7,"Sin pliometría ni velocidad. Solo isométricos, movilidad y tren superior. Valoración médica",IF(N41&gt;=4,"Sin pliometría el lunes. Sentadilla española 5x45 s","Sesión normal")))</f>
        <v/>
      </c>
      <c r="P41" s="16"/>
      <c r="Q41" s="16"/>
    </row>
    <row r="42" customFormat="false" ht="15" hidden="false" customHeight="false" outlineLevel="0" collapsed="false">
      <c r="A42" s="13" t="n">
        <v>3</v>
      </c>
      <c r="B42" s="14" t="n">
        <v>46286</v>
      </c>
      <c r="C42" s="13" t="s">
        <v>70</v>
      </c>
      <c r="D42" s="13" t="s">
        <v>72</v>
      </c>
      <c r="E42" s="13" t="n">
        <v>9</v>
      </c>
      <c r="F42" s="15" t="str">
        <f aca="false">Jugadores!$B$14</f>
        <v>Jugador 10</v>
      </c>
      <c r="G42" s="16"/>
      <c r="H42" s="16"/>
      <c r="I42" s="16"/>
      <c r="J42" s="17" t="str">
        <f aca="false">IF(COUNT(G42:I42)=0,"",G42*55+H42*50+I42*50)</f>
        <v/>
      </c>
      <c r="K42" s="16"/>
      <c r="L42" s="16"/>
      <c r="M42" s="16"/>
      <c r="N42" s="17" t="str">
        <f aca="false">IF(COUNT(K42:M42)=0,"",MAX(K42:M42))</f>
        <v/>
      </c>
      <c r="O42" s="18" t="str">
        <f aca="false">IF(N42="","",IF(N42&gt;=7,"Sin pliometría ni velocidad. Solo isométricos, movilidad y tren superior. Valoración médica",IF(N42&gt;=4,"Sin pliometría el lunes. Sentadilla española 5x45 s","Sesión normal")))</f>
        <v/>
      </c>
      <c r="P42" s="16"/>
      <c r="Q42" s="16"/>
    </row>
    <row r="43" customFormat="false" ht="15" hidden="false" customHeight="false" outlineLevel="0" collapsed="false">
      <c r="A43" s="13" t="n">
        <v>3</v>
      </c>
      <c r="B43" s="14" t="n">
        <v>46286</v>
      </c>
      <c r="C43" s="13" t="s">
        <v>70</v>
      </c>
      <c r="D43" s="13" t="s">
        <v>72</v>
      </c>
      <c r="E43" s="13" t="n">
        <v>9</v>
      </c>
      <c r="F43" s="15" t="str">
        <f aca="false">Jugadores!$B$15</f>
        <v>Jugador 11</v>
      </c>
      <c r="G43" s="16"/>
      <c r="H43" s="16"/>
      <c r="I43" s="16"/>
      <c r="J43" s="17" t="str">
        <f aca="false">IF(COUNT(G43:I43)=0,"",G43*55+H43*50+I43*50)</f>
        <v/>
      </c>
      <c r="K43" s="16"/>
      <c r="L43" s="16"/>
      <c r="M43" s="16"/>
      <c r="N43" s="17" t="str">
        <f aca="false">IF(COUNT(K43:M43)=0,"",MAX(K43:M43))</f>
        <v/>
      </c>
      <c r="O43" s="18" t="str">
        <f aca="false">IF(N43="","",IF(N43&gt;=7,"Sin pliometría ni velocidad. Solo isométricos, movilidad y tren superior. Valoración médica",IF(N43&gt;=4,"Sin pliometría el lunes. Sentadilla española 5x45 s","Sesión normal")))</f>
        <v/>
      </c>
      <c r="P43" s="16"/>
      <c r="Q43" s="16"/>
    </row>
    <row r="44" customFormat="false" ht="15" hidden="false" customHeight="false" outlineLevel="0" collapsed="false">
      <c r="A44" s="13" t="n">
        <v>3</v>
      </c>
      <c r="B44" s="14" t="n">
        <v>46286</v>
      </c>
      <c r="C44" s="13" t="s">
        <v>70</v>
      </c>
      <c r="D44" s="13" t="s">
        <v>72</v>
      </c>
      <c r="E44" s="13" t="n">
        <v>9</v>
      </c>
      <c r="F44" s="15" t="str">
        <f aca="false">Jugadores!$B$16</f>
        <v>Jugador 12</v>
      </c>
      <c r="G44" s="16"/>
      <c r="H44" s="16"/>
      <c r="I44" s="16"/>
      <c r="J44" s="17" t="str">
        <f aca="false">IF(COUNT(G44:I44)=0,"",G44*55+H44*50+I44*50)</f>
        <v/>
      </c>
      <c r="K44" s="16"/>
      <c r="L44" s="16"/>
      <c r="M44" s="16"/>
      <c r="N44" s="17" t="str">
        <f aca="false">IF(COUNT(K44:M44)=0,"",MAX(K44:M44))</f>
        <v/>
      </c>
      <c r="O44" s="18" t="str">
        <f aca="false">IF(N44="","",IF(N44&gt;=7,"Sin pliometría ni velocidad. Solo isométricos, movilidad y tren superior. Valoración médica",IF(N44&gt;=4,"Sin pliometría el lunes. Sentadilla española 5x45 s","Sesión normal")))</f>
        <v/>
      </c>
      <c r="P44" s="16"/>
      <c r="Q44" s="16"/>
    </row>
    <row r="45" customFormat="false" ht="15" hidden="false" customHeight="false" outlineLevel="0" collapsed="false">
      <c r="A45" s="13" t="n">
        <v>3</v>
      </c>
      <c r="B45" s="14" t="n">
        <v>46286</v>
      </c>
      <c r="C45" s="13" t="s">
        <v>70</v>
      </c>
      <c r="D45" s="13" t="s">
        <v>72</v>
      </c>
      <c r="E45" s="13" t="n">
        <v>9</v>
      </c>
      <c r="F45" s="15" t="str">
        <f aca="false">Jugadores!$B$17</f>
        <v>Jugador 13</v>
      </c>
      <c r="G45" s="16"/>
      <c r="H45" s="16"/>
      <c r="I45" s="16"/>
      <c r="J45" s="17" t="str">
        <f aca="false">IF(COUNT(G45:I45)=0,"",G45*55+H45*50+I45*50)</f>
        <v/>
      </c>
      <c r="K45" s="16"/>
      <c r="L45" s="16"/>
      <c r="M45" s="16"/>
      <c r="N45" s="17" t="str">
        <f aca="false">IF(COUNT(K45:M45)=0,"",MAX(K45:M45))</f>
        <v/>
      </c>
      <c r="O45" s="18" t="str">
        <f aca="false">IF(N45="","",IF(N45&gt;=7,"Sin pliometría ni velocidad. Solo isométricos, movilidad y tren superior. Valoración médica",IF(N45&gt;=4,"Sin pliometría el lunes. Sentadilla española 5x45 s","Sesión normal")))</f>
        <v/>
      </c>
      <c r="P45" s="16"/>
      <c r="Q45" s="16"/>
    </row>
    <row r="46" customFormat="false" ht="15" hidden="false" customHeight="false" outlineLevel="0" collapsed="false">
      <c r="A46" s="13" t="n">
        <v>3</v>
      </c>
      <c r="B46" s="14" t="n">
        <v>46286</v>
      </c>
      <c r="C46" s="13" t="s">
        <v>70</v>
      </c>
      <c r="D46" s="13" t="s">
        <v>72</v>
      </c>
      <c r="E46" s="13" t="n">
        <v>9</v>
      </c>
      <c r="F46" s="15" t="str">
        <f aca="false">Jugadores!$B$18</f>
        <v>Jugador 14</v>
      </c>
      <c r="G46" s="16"/>
      <c r="H46" s="16"/>
      <c r="I46" s="16"/>
      <c r="J46" s="17" t="str">
        <f aca="false">IF(COUNT(G46:I46)=0,"",G46*55+H46*50+I46*50)</f>
        <v/>
      </c>
      <c r="K46" s="16"/>
      <c r="L46" s="16"/>
      <c r="M46" s="16"/>
      <c r="N46" s="17" t="str">
        <f aca="false">IF(COUNT(K46:M46)=0,"",MAX(K46:M46))</f>
        <v/>
      </c>
      <c r="O46" s="18" t="str">
        <f aca="false">IF(N46="","",IF(N46&gt;=7,"Sin pliometría ni velocidad. Solo isométricos, movilidad y tren superior. Valoración médica",IF(N46&gt;=4,"Sin pliometría el lunes. Sentadilla española 5x45 s","Sesión normal")))</f>
        <v/>
      </c>
      <c r="P46" s="16"/>
      <c r="Q46" s="16"/>
    </row>
    <row r="47" customFormat="false" ht="15" hidden="false" customHeight="false" outlineLevel="0" collapsed="false">
      <c r="A47" s="13" t="n">
        <v>4</v>
      </c>
      <c r="B47" s="14" t="n">
        <v>46293</v>
      </c>
      <c r="C47" s="13" t="s">
        <v>70</v>
      </c>
      <c r="D47" s="13" t="s">
        <v>73</v>
      </c>
      <c r="E47" s="13" t="n">
        <v>6</v>
      </c>
      <c r="F47" s="15" t="str">
        <f aca="false">Jugadores!$B$5</f>
        <v>Jugador 1</v>
      </c>
      <c r="G47" s="16"/>
      <c r="H47" s="16"/>
      <c r="I47" s="16"/>
      <c r="J47" s="17" t="str">
        <f aca="false">IF(COUNT(G47:I47)=0,"",G47*55+H47*50+I47*50)</f>
        <v/>
      </c>
      <c r="K47" s="16"/>
      <c r="L47" s="16"/>
      <c r="M47" s="16"/>
      <c r="N47" s="17" t="str">
        <f aca="false">IF(COUNT(K47:M47)=0,"",MAX(K47:M47))</f>
        <v/>
      </c>
      <c r="O47" s="18" t="str">
        <f aca="false">IF(N47="","",IF(N47&gt;=7,"Sin pliometría ni velocidad. Solo isométricos, movilidad y tren superior. Valoración médica",IF(N47&gt;=4,"Sin pliometría el lunes. Sentadilla española 5x45 s","Sesión normal")))</f>
        <v/>
      </c>
      <c r="P47" s="16"/>
      <c r="Q47" s="16"/>
    </row>
    <row r="48" customFormat="false" ht="15" hidden="false" customHeight="false" outlineLevel="0" collapsed="false">
      <c r="A48" s="13" t="n">
        <v>4</v>
      </c>
      <c r="B48" s="14" t="n">
        <v>46293</v>
      </c>
      <c r="C48" s="13" t="s">
        <v>70</v>
      </c>
      <c r="D48" s="13" t="s">
        <v>73</v>
      </c>
      <c r="E48" s="13" t="n">
        <v>6</v>
      </c>
      <c r="F48" s="15" t="str">
        <f aca="false">Jugadores!$B$6</f>
        <v>Jugador 2</v>
      </c>
      <c r="G48" s="16"/>
      <c r="H48" s="16"/>
      <c r="I48" s="16"/>
      <c r="J48" s="17" t="str">
        <f aca="false">IF(COUNT(G48:I48)=0,"",G48*55+H48*50+I48*50)</f>
        <v/>
      </c>
      <c r="K48" s="16"/>
      <c r="L48" s="16"/>
      <c r="M48" s="16"/>
      <c r="N48" s="17" t="str">
        <f aca="false">IF(COUNT(K48:M48)=0,"",MAX(K48:M48))</f>
        <v/>
      </c>
      <c r="O48" s="18" t="str">
        <f aca="false">IF(N48="","",IF(N48&gt;=7,"Sin pliometría ni velocidad. Solo isométricos, movilidad y tren superior. Valoración médica",IF(N48&gt;=4,"Sin pliometría el lunes. Sentadilla española 5x45 s","Sesión normal")))</f>
        <v/>
      </c>
      <c r="P48" s="16"/>
      <c r="Q48" s="16"/>
    </row>
    <row r="49" customFormat="false" ht="15" hidden="false" customHeight="false" outlineLevel="0" collapsed="false">
      <c r="A49" s="13" t="n">
        <v>4</v>
      </c>
      <c r="B49" s="14" t="n">
        <v>46293</v>
      </c>
      <c r="C49" s="13" t="s">
        <v>70</v>
      </c>
      <c r="D49" s="13" t="s">
        <v>73</v>
      </c>
      <c r="E49" s="13" t="n">
        <v>6</v>
      </c>
      <c r="F49" s="15" t="str">
        <f aca="false">Jugadores!$B$7</f>
        <v>Jugador 3</v>
      </c>
      <c r="G49" s="16"/>
      <c r="H49" s="16"/>
      <c r="I49" s="16"/>
      <c r="J49" s="17" t="str">
        <f aca="false">IF(COUNT(G49:I49)=0,"",G49*55+H49*50+I49*50)</f>
        <v/>
      </c>
      <c r="K49" s="16"/>
      <c r="L49" s="16"/>
      <c r="M49" s="16"/>
      <c r="N49" s="17" t="str">
        <f aca="false">IF(COUNT(K49:M49)=0,"",MAX(K49:M49))</f>
        <v/>
      </c>
      <c r="O49" s="18" t="str">
        <f aca="false">IF(N49="","",IF(N49&gt;=7,"Sin pliometría ni velocidad. Solo isométricos, movilidad y tren superior. Valoración médica",IF(N49&gt;=4,"Sin pliometría el lunes. Sentadilla española 5x45 s","Sesión normal")))</f>
        <v/>
      </c>
      <c r="P49" s="16"/>
      <c r="Q49" s="16"/>
    </row>
    <row r="50" customFormat="false" ht="15" hidden="false" customHeight="false" outlineLevel="0" collapsed="false">
      <c r="A50" s="13" t="n">
        <v>4</v>
      </c>
      <c r="B50" s="14" t="n">
        <v>46293</v>
      </c>
      <c r="C50" s="13" t="s">
        <v>70</v>
      </c>
      <c r="D50" s="13" t="s">
        <v>73</v>
      </c>
      <c r="E50" s="13" t="n">
        <v>6</v>
      </c>
      <c r="F50" s="15" t="str">
        <f aca="false">Jugadores!$B$8</f>
        <v>Jugador 4</v>
      </c>
      <c r="G50" s="16"/>
      <c r="H50" s="16"/>
      <c r="I50" s="16"/>
      <c r="J50" s="17" t="str">
        <f aca="false">IF(COUNT(G50:I50)=0,"",G50*55+H50*50+I50*50)</f>
        <v/>
      </c>
      <c r="K50" s="16"/>
      <c r="L50" s="16"/>
      <c r="M50" s="16"/>
      <c r="N50" s="17" t="str">
        <f aca="false">IF(COUNT(K50:M50)=0,"",MAX(K50:M50))</f>
        <v/>
      </c>
      <c r="O50" s="18" t="str">
        <f aca="false">IF(N50="","",IF(N50&gt;=7,"Sin pliometría ni velocidad. Solo isométricos, movilidad y tren superior. Valoración médica",IF(N50&gt;=4,"Sin pliometría el lunes. Sentadilla española 5x45 s","Sesión normal")))</f>
        <v/>
      </c>
      <c r="P50" s="16"/>
      <c r="Q50" s="16"/>
    </row>
    <row r="51" customFormat="false" ht="15" hidden="false" customHeight="false" outlineLevel="0" collapsed="false">
      <c r="A51" s="13" t="n">
        <v>4</v>
      </c>
      <c r="B51" s="14" t="n">
        <v>46293</v>
      </c>
      <c r="C51" s="13" t="s">
        <v>70</v>
      </c>
      <c r="D51" s="13" t="s">
        <v>73</v>
      </c>
      <c r="E51" s="13" t="n">
        <v>6</v>
      </c>
      <c r="F51" s="15" t="str">
        <f aca="false">Jugadores!$B$9</f>
        <v>Jugador 5</v>
      </c>
      <c r="G51" s="16"/>
      <c r="H51" s="16"/>
      <c r="I51" s="16"/>
      <c r="J51" s="17" t="str">
        <f aca="false">IF(COUNT(G51:I51)=0,"",G51*55+H51*50+I51*50)</f>
        <v/>
      </c>
      <c r="K51" s="16"/>
      <c r="L51" s="16"/>
      <c r="M51" s="16"/>
      <c r="N51" s="17" t="str">
        <f aca="false">IF(COUNT(K51:M51)=0,"",MAX(K51:M51))</f>
        <v/>
      </c>
      <c r="O51" s="18" t="str">
        <f aca="false">IF(N51="","",IF(N51&gt;=7,"Sin pliometría ni velocidad. Solo isométricos, movilidad y tren superior. Valoración médica",IF(N51&gt;=4,"Sin pliometría el lunes. Sentadilla española 5x45 s","Sesión normal")))</f>
        <v/>
      </c>
      <c r="P51" s="16"/>
      <c r="Q51" s="16"/>
    </row>
    <row r="52" customFormat="false" ht="15" hidden="false" customHeight="false" outlineLevel="0" collapsed="false">
      <c r="A52" s="13" t="n">
        <v>4</v>
      </c>
      <c r="B52" s="14" t="n">
        <v>46293</v>
      </c>
      <c r="C52" s="13" t="s">
        <v>70</v>
      </c>
      <c r="D52" s="13" t="s">
        <v>73</v>
      </c>
      <c r="E52" s="13" t="n">
        <v>6</v>
      </c>
      <c r="F52" s="15" t="str">
        <f aca="false">Jugadores!$B$10</f>
        <v>Jugador 6</v>
      </c>
      <c r="G52" s="16"/>
      <c r="H52" s="16"/>
      <c r="I52" s="16"/>
      <c r="J52" s="17" t="str">
        <f aca="false">IF(COUNT(G52:I52)=0,"",G52*55+H52*50+I52*50)</f>
        <v/>
      </c>
      <c r="K52" s="16"/>
      <c r="L52" s="16"/>
      <c r="M52" s="16"/>
      <c r="N52" s="17" t="str">
        <f aca="false">IF(COUNT(K52:M52)=0,"",MAX(K52:M52))</f>
        <v/>
      </c>
      <c r="O52" s="18" t="str">
        <f aca="false">IF(N52="","",IF(N52&gt;=7,"Sin pliometría ni velocidad. Solo isométricos, movilidad y tren superior. Valoración médica",IF(N52&gt;=4,"Sin pliometría el lunes. Sentadilla española 5x45 s","Sesión normal")))</f>
        <v/>
      </c>
      <c r="P52" s="16"/>
      <c r="Q52" s="16"/>
    </row>
    <row r="53" customFormat="false" ht="15" hidden="false" customHeight="false" outlineLevel="0" collapsed="false">
      <c r="A53" s="13" t="n">
        <v>4</v>
      </c>
      <c r="B53" s="14" t="n">
        <v>46293</v>
      </c>
      <c r="C53" s="13" t="s">
        <v>70</v>
      </c>
      <c r="D53" s="13" t="s">
        <v>73</v>
      </c>
      <c r="E53" s="13" t="n">
        <v>6</v>
      </c>
      <c r="F53" s="15" t="str">
        <f aca="false">Jugadores!$B$11</f>
        <v>Jugador 7</v>
      </c>
      <c r="G53" s="16"/>
      <c r="H53" s="16"/>
      <c r="I53" s="16"/>
      <c r="J53" s="17" t="str">
        <f aca="false">IF(COUNT(G53:I53)=0,"",G53*55+H53*50+I53*50)</f>
        <v/>
      </c>
      <c r="K53" s="16"/>
      <c r="L53" s="16"/>
      <c r="M53" s="16"/>
      <c r="N53" s="17" t="str">
        <f aca="false">IF(COUNT(K53:M53)=0,"",MAX(K53:M53))</f>
        <v/>
      </c>
      <c r="O53" s="18" t="str">
        <f aca="false">IF(N53="","",IF(N53&gt;=7,"Sin pliometría ni velocidad. Solo isométricos, movilidad y tren superior. Valoración médica",IF(N53&gt;=4,"Sin pliometría el lunes. Sentadilla española 5x45 s","Sesión normal")))</f>
        <v/>
      </c>
      <c r="P53" s="16"/>
      <c r="Q53" s="16"/>
    </row>
    <row r="54" customFormat="false" ht="15" hidden="false" customHeight="false" outlineLevel="0" collapsed="false">
      <c r="A54" s="13" t="n">
        <v>4</v>
      </c>
      <c r="B54" s="14" t="n">
        <v>46293</v>
      </c>
      <c r="C54" s="13" t="s">
        <v>70</v>
      </c>
      <c r="D54" s="13" t="s">
        <v>73</v>
      </c>
      <c r="E54" s="13" t="n">
        <v>6</v>
      </c>
      <c r="F54" s="15" t="str">
        <f aca="false">Jugadores!$B$12</f>
        <v>Jugador 8</v>
      </c>
      <c r="G54" s="16"/>
      <c r="H54" s="16"/>
      <c r="I54" s="16"/>
      <c r="J54" s="17" t="str">
        <f aca="false">IF(COUNT(G54:I54)=0,"",G54*55+H54*50+I54*50)</f>
        <v/>
      </c>
      <c r="K54" s="16"/>
      <c r="L54" s="16"/>
      <c r="M54" s="16"/>
      <c r="N54" s="17" t="str">
        <f aca="false">IF(COUNT(K54:M54)=0,"",MAX(K54:M54))</f>
        <v/>
      </c>
      <c r="O54" s="18" t="str">
        <f aca="false">IF(N54="","",IF(N54&gt;=7,"Sin pliometría ni velocidad. Solo isométricos, movilidad y tren superior. Valoración médica",IF(N54&gt;=4,"Sin pliometría el lunes. Sentadilla española 5x45 s","Sesión normal")))</f>
        <v/>
      </c>
      <c r="P54" s="16"/>
      <c r="Q54" s="16"/>
    </row>
    <row r="55" customFormat="false" ht="15" hidden="false" customHeight="false" outlineLevel="0" collapsed="false">
      <c r="A55" s="13" t="n">
        <v>4</v>
      </c>
      <c r="B55" s="14" t="n">
        <v>46293</v>
      </c>
      <c r="C55" s="13" t="s">
        <v>70</v>
      </c>
      <c r="D55" s="13" t="s">
        <v>73</v>
      </c>
      <c r="E55" s="13" t="n">
        <v>6</v>
      </c>
      <c r="F55" s="15" t="str">
        <f aca="false">Jugadores!$B$13</f>
        <v>Jugador 9</v>
      </c>
      <c r="G55" s="16"/>
      <c r="H55" s="16"/>
      <c r="I55" s="16"/>
      <c r="J55" s="17" t="str">
        <f aca="false">IF(COUNT(G55:I55)=0,"",G55*55+H55*50+I55*50)</f>
        <v/>
      </c>
      <c r="K55" s="16"/>
      <c r="L55" s="16"/>
      <c r="M55" s="16"/>
      <c r="N55" s="17" t="str">
        <f aca="false">IF(COUNT(K55:M55)=0,"",MAX(K55:M55))</f>
        <v/>
      </c>
      <c r="O55" s="18" t="str">
        <f aca="false">IF(N55="","",IF(N55&gt;=7,"Sin pliometría ni velocidad. Solo isométricos, movilidad y tren superior. Valoración médica",IF(N55&gt;=4,"Sin pliometría el lunes. Sentadilla española 5x45 s","Sesión normal")))</f>
        <v/>
      </c>
      <c r="P55" s="16"/>
      <c r="Q55" s="16"/>
    </row>
    <row r="56" customFormat="false" ht="15" hidden="false" customHeight="false" outlineLevel="0" collapsed="false">
      <c r="A56" s="13" t="n">
        <v>4</v>
      </c>
      <c r="B56" s="14" t="n">
        <v>46293</v>
      </c>
      <c r="C56" s="13" t="s">
        <v>70</v>
      </c>
      <c r="D56" s="13" t="s">
        <v>73</v>
      </c>
      <c r="E56" s="13" t="n">
        <v>6</v>
      </c>
      <c r="F56" s="15" t="str">
        <f aca="false">Jugadores!$B$14</f>
        <v>Jugador 10</v>
      </c>
      <c r="G56" s="16"/>
      <c r="H56" s="16"/>
      <c r="I56" s="16"/>
      <c r="J56" s="17" t="str">
        <f aca="false">IF(COUNT(G56:I56)=0,"",G56*55+H56*50+I56*50)</f>
        <v/>
      </c>
      <c r="K56" s="16"/>
      <c r="L56" s="16"/>
      <c r="M56" s="16"/>
      <c r="N56" s="17" t="str">
        <f aca="false">IF(COUNT(K56:M56)=0,"",MAX(K56:M56))</f>
        <v/>
      </c>
      <c r="O56" s="18" t="str">
        <f aca="false">IF(N56="","",IF(N56&gt;=7,"Sin pliometría ni velocidad. Solo isométricos, movilidad y tren superior. Valoración médica",IF(N56&gt;=4,"Sin pliometría el lunes. Sentadilla española 5x45 s","Sesión normal")))</f>
        <v/>
      </c>
      <c r="P56" s="16"/>
      <c r="Q56" s="16"/>
    </row>
    <row r="57" customFormat="false" ht="15" hidden="false" customHeight="false" outlineLevel="0" collapsed="false">
      <c r="A57" s="13" t="n">
        <v>4</v>
      </c>
      <c r="B57" s="14" t="n">
        <v>46293</v>
      </c>
      <c r="C57" s="13" t="s">
        <v>70</v>
      </c>
      <c r="D57" s="13" t="s">
        <v>73</v>
      </c>
      <c r="E57" s="13" t="n">
        <v>6</v>
      </c>
      <c r="F57" s="15" t="str">
        <f aca="false">Jugadores!$B$15</f>
        <v>Jugador 11</v>
      </c>
      <c r="G57" s="16"/>
      <c r="H57" s="16"/>
      <c r="I57" s="16"/>
      <c r="J57" s="17" t="str">
        <f aca="false">IF(COUNT(G57:I57)=0,"",G57*55+H57*50+I57*50)</f>
        <v/>
      </c>
      <c r="K57" s="16"/>
      <c r="L57" s="16"/>
      <c r="M57" s="16"/>
      <c r="N57" s="17" t="str">
        <f aca="false">IF(COUNT(K57:M57)=0,"",MAX(K57:M57))</f>
        <v/>
      </c>
      <c r="O57" s="18" t="str">
        <f aca="false">IF(N57="","",IF(N57&gt;=7,"Sin pliometría ni velocidad. Solo isométricos, movilidad y tren superior. Valoración médica",IF(N57&gt;=4,"Sin pliometría el lunes. Sentadilla española 5x45 s","Sesión normal")))</f>
        <v/>
      </c>
      <c r="P57" s="16"/>
      <c r="Q57" s="16"/>
    </row>
    <row r="58" customFormat="false" ht="15" hidden="false" customHeight="false" outlineLevel="0" collapsed="false">
      <c r="A58" s="13" t="n">
        <v>4</v>
      </c>
      <c r="B58" s="14" t="n">
        <v>46293</v>
      </c>
      <c r="C58" s="13" t="s">
        <v>70</v>
      </c>
      <c r="D58" s="13" t="s">
        <v>73</v>
      </c>
      <c r="E58" s="13" t="n">
        <v>6</v>
      </c>
      <c r="F58" s="15" t="str">
        <f aca="false">Jugadores!$B$16</f>
        <v>Jugador 12</v>
      </c>
      <c r="G58" s="16"/>
      <c r="H58" s="16"/>
      <c r="I58" s="16"/>
      <c r="J58" s="17" t="str">
        <f aca="false">IF(COUNT(G58:I58)=0,"",G58*55+H58*50+I58*50)</f>
        <v/>
      </c>
      <c r="K58" s="16"/>
      <c r="L58" s="16"/>
      <c r="M58" s="16"/>
      <c r="N58" s="17" t="str">
        <f aca="false">IF(COUNT(K58:M58)=0,"",MAX(K58:M58))</f>
        <v/>
      </c>
      <c r="O58" s="18" t="str">
        <f aca="false">IF(N58="","",IF(N58&gt;=7,"Sin pliometría ni velocidad. Solo isométricos, movilidad y tren superior. Valoración médica",IF(N58&gt;=4,"Sin pliometría el lunes. Sentadilla española 5x45 s","Sesión normal")))</f>
        <v/>
      </c>
      <c r="P58" s="16"/>
      <c r="Q58" s="16"/>
    </row>
    <row r="59" customFormat="false" ht="15" hidden="false" customHeight="false" outlineLevel="0" collapsed="false">
      <c r="A59" s="13" t="n">
        <v>4</v>
      </c>
      <c r="B59" s="14" t="n">
        <v>46293</v>
      </c>
      <c r="C59" s="13" t="s">
        <v>70</v>
      </c>
      <c r="D59" s="13" t="s">
        <v>73</v>
      </c>
      <c r="E59" s="13" t="n">
        <v>6</v>
      </c>
      <c r="F59" s="15" t="str">
        <f aca="false">Jugadores!$B$17</f>
        <v>Jugador 13</v>
      </c>
      <c r="G59" s="16"/>
      <c r="H59" s="16"/>
      <c r="I59" s="16"/>
      <c r="J59" s="17" t="str">
        <f aca="false">IF(COUNT(G59:I59)=0,"",G59*55+H59*50+I59*50)</f>
        <v/>
      </c>
      <c r="K59" s="16"/>
      <c r="L59" s="16"/>
      <c r="M59" s="16"/>
      <c r="N59" s="17" t="str">
        <f aca="false">IF(COUNT(K59:M59)=0,"",MAX(K59:M59))</f>
        <v/>
      </c>
      <c r="O59" s="18" t="str">
        <f aca="false">IF(N59="","",IF(N59&gt;=7,"Sin pliometría ni velocidad. Solo isométricos, movilidad y tren superior. Valoración médica",IF(N59&gt;=4,"Sin pliometría el lunes. Sentadilla española 5x45 s","Sesión normal")))</f>
        <v/>
      </c>
      <c r="P59" s="16"/>
      <c r="Q59" s="16"/>
    </row>
    <row r="60" customFormat="false" ht="15" hidden="false" customHeight="false" outlineLevel="0" collapsed="false">
      <c r="A60" s="13" t="n">
        <v>4</v>
      </c>
      <c r="B60" s="14" t="n">
        <v>46293</v>
      </c>
      <c r="C60" s="13" t="s">
        <v>70</v>
      </c>
      <c r="D60" s="13" t="s">
        <v>73</v>
      </c>
      <c r="E60" s="13" t="n">
        <v>6</v>
      </c>
      <c r="F60" s="15" t="str">
        <f aca="false">Jugadores!$B$18</f>
        <v>Jugador 14</v>
      </c>
      <c r="G60" s="16"/>
      <c r="H60" s="16"/>
      <c r="I60" s="16"/>
      <c r="J60" s="17" t="str">
        <f aca="false">IF(COUNT(G60:I60)=0,"",G60*55+H60*50+I60*50)</f>
        <v/>
      </c>
      <c r="K60" s="16"/>
      <c r="L60" s="16"/>
      <c r="M60" s="16"/>
      <c r="N60" s="17" t="str">
        <f aca="false">IF(COUNT(K60:M60)=0,"",MAX(K60:M60))</f>
        <v/>
      </c>
      <c r="O60" s="18" t="str">
        <f aca="false">IF(N60="","",IF(N60&gt;=7,"Sin pliometría ni velocidad. Solo isométricos, movilidad y tren superior. Valoración médica",IF(N60&gt;=4,"Sin pliometría el lunes. Sentadilla española 5x45 s","Sesión normal")))</f>
        <v/>
      </c>
      <c r="P60" s="16"/>
      <c r="Q60" s="16"/>
    </row>
    <row r="61" customFormat="false" ht="15" hidden="false" customHeight="false" outlineLevel="0" collapsed="false">
      <c r="A61" s="13" t="n">
        <v>5</v>
      </c>
      <c r="B61" s="14" t="n">
        <v>46300</v>
      </c>
      <c r="C61" s="13" t="s">
        <v>74</v>
      </c>
      <c r="D61" s="13" t="s">
        <v>75</v>
      </c>
      <c r="E61" s="13" t="n">
        <v>10</v>
      </c>
      <c r="F61" s="15" t="str">
        <f aca="false">Jugadores!$B$5</f>
        <v>Jugador 1</v>
      </c>
      <c r="G61" s="16"/>
      <c r="H61" s="16"/>
      <c r="I61" s="16"/>
      <c r="J61" s="17" t="str">
        <f aca="false">IF(COUNT(G61:I61)=0,"",G61*55+H61*50+I61*50)</f>
        <v/>
      </c>
      <c r="K61" s="16"/>
      <c r="L61" s="16"/>
      <c r="M61" s="16"/>
      <c r="N61" s="17" t="str">
        <f aca="false">IF(COUNT(K61:M61)=0,"",MAX(K61:M61))</f>
        <v/>
      </c>
      <c r="O61" s="18" t="str">
        <f aca="false">IF(N61="","",IF(N61&gt;=7,"Sin pliometría ni velocidad. Solo isométricos, movilidad y tren superior. Valoración médica",IF(N61&gt;=4,"Sin pliometría el lunes. Sentadilla española 5x45 s","Sesión normal")))</f>
        <v/>
      </c>
      <c r="P61" s="16"/>
      <c r="Q61" s="16"/>
    </row>
    <row r="62" customFormat="false" ht="15" hidden="false" customHeight="false" outlineLevel="0" collapsed="false">
      <c r="A62" s="13" t="n">
        <v>5</v>
      </c>
      <c r="B62" s="14" t="n">
        <v>46300</v>
      </c>
      <c r="C62" s="13" t="s">
        <v>74</v>
      </c>
      <c r="D62" s="13" t="s">
        <v>75</v>
      </c>
      <c r="E62" s="13" t="n">
        <v>10</v>
      </c>
      <c r="F62" s="15" t="str">
        <f aca="false">Jugadores!$B$6</f>
        <v>Jugador 2</v>
      </c>
      <c r="G62" s="16"/>
      <c r="H62" s="16"/>
      <c r="I62" s="16"/>
      <c r="J62" s="17" t="str">
        <f aca="false">IF(COUNT(G62:I62)=0,"",G62*55+H62*50+I62*50)</f>
        <v/>
      </c>
      <c r="K62" s="16"/>
      <c r="L62" s="16"/>
      <c r="M62" s="16"/>
      <c r="N62" s="17" t="str">
        <f aca="false">IF(COUNT(K62:M62)=0,"",MAX(K62:M62))</f>
        <v/>
      </c>
      <c r="O62" s="18" t="str">
        <f aca="false">IF(N62="","",IF(N62&gt;=7,"Sin pliometría ni velocidad. Solo isométricos, movilidad y tren superior. Valoración médica",IF(N62&gt;=4,"Sin pliometría el lunes. Sentadilla española 5x45 s","Sesión normal")))</f>
        <v/>
      </c>
      <c r="P62" s="16"/>
      <c r="Q62" s="16"/>
    </row>
    <row r="63" customFormat="false" ht="15" hidden="false" customHeight="false" outlineLevel="0" collapsed="false">
      <c r="A63" s="13" t="n">
        <v>5</v>
      </c>
      <c r="B63" s="14" t="n">
        <v>46300</v>
      </c>
      <c r="C63" s="13" t="s">
        <v>74</v>
      </c>
      <c r="D63" s="13" t="s">
        <v>75</v>
      </c>
      <c r="E63" s="13" t="n">
        <v>10</v>
      </c>
      <c r="F63" s="15" t="str">
        <f aca="false">Jugadores!$B$7</f>
        <v>Jugador 3</v>
      </c>
      <c r="G63" s="16"/>
      <c r="H63" s="16"/>
      <c r="I63" s="16"/>
      <c r="J63" s="17" t="str">
        <f aca="false">IF(COUNT(G63:I63)=0,"",G63*55+H63*50+I63*50)</f>
        <v/>
      </c>
      <c r="K63" s="16"/>
      <c r="L63" s="16"/>
      <c r="M63" s="16"/>
      <c r="N63" s="17" t="str">
        <f aca="false">IF(COUNT(K63:M63)=0,"",MAX(K63:M63))</f>
        <v/>
      </c>
      <c r="O63" s="18" t="str">
        <f aca="false">IF(N63="","",IF(N63&gt;=7,"Sin pliometría ni velocidad. Solo isométricos, movilidad y tren superior. Valoración médica",IF(N63&gt;=4,"Sin pliometría el lunes. Sentadilla española 5x45 s","Sesión normal")))</f>
        <v/>
      </c>
      <c r="P63" s="16"/>
      <c r="Q63" s="16"/>
    </row>
    <row r="64" customFormat="false" ht="15" hidden="false" customHeight="false" outlineLevel="0" collapsed="false">
      <c r="A64" s="13" t="n">
        <v>5</v>
      </c>
      <c r="B64" s="14" t="n">
        <v>46300</v>
      </c>
      <c r="C64" s="13" t="s">
        <v>74</v>
      </c>
      <c r="D64" s="13" t="s">
        <v>75</v>
      </c>
      <c r="E64" s="13" t="n">
        <v>10</v>
      </c>
      <c r="F64" s="15" t="str">
        <f aca="false">Jugadores!$B$8</f>
        <v>Jugador 4</v>
      </c>
      <c r="G64" s="16"/>
      <c r="H64" s="16"/>
      <c r="I64" s="16"/>
      <c r="J64" s="17" t="str">
        <f aca="false">IF(COUNT(G64:I64)=0,"",G64*55+H64*50+I64*50)</f>
        <v/>
      </c>
      <c r="K64" s="16"/>
      <c r="L64" s="16"/>
      <c r="M64" s="16"/>
      <c r="N64" s="17" t="str">
        <f aca="false">IF(COUNT(K64:M64)=0,"",MAX(K64:M64))</f>
        <v/>
      </c>
      <c r="O64" s="18" t="str">
        <f aca="false">IF(N64="","",IF(N64&gt;=7,"Sin pliometría ni velocidad. Solo isométricos, movilidad y tren superior. Valoración médica",IF(N64&gt;=4,"Sin pliometría el lunes. Sentadilla española 5x45 s","Sesión normal")))</f>
        <v/>
      </c>
      <c r="P64" s="16"/>
      <c r="Q64" s="16"/>
    </row>
    <row r="65" customFormat="false" ht="15" hidden="false" customHeight="false" outlineLevel="0" collapsed="false">
      <c r="A65" s="13" t="n">
        <v>5</v>
      </c>
      <c r="B65" s="14" t="n">
        <v>46300</v>
      </c>
      <c r="C65" s="13" t="s">
        <v>74</v>
      </c>
      <c r="D65" s="13" t="s">
        <v>75</v>
      </c>
      <c r="E65" s="13" t="n">
        <v>10</v>
      </c>
      <c r="F65" s="15" t="str">
        <f aca="false">Jugadores!$B$9</f>
        <v>Jugador 5</v>
      </c>
      <c r="G65" s="16"/>
      <c r="H65" s="16"/>
      <c r="I65" s="16"/>
      <c r="J65" s="17" t="str">
        <f aca="false">IF(COUNT(G65:I65)=0,"",G65*55+H65*50+I65*50)</f>
        <v/>
      </c>
      <c r="K65" s="16"/>
      <c r="L65" s="16"/>
      <c r="M65" s="16"/>
      <c r="N65" s="17" t="str">
        <f aca="false">IF(COUNT(K65:M65)=0,"",MAX(K65:M65))</f>
        <v/>
      </c>
      <c r="O65" s="18" t="str">
        <f aca="false">IF(N65="","",IF(N65&gt;=7,"Sin pliometría ni velocidad. Solo isométricos, movilidad y tren superior. Valoración médica",IF(N65&gt;=4,"Sin pliometría el lunes. Sentadilla española 5x45 s","Sesión normal")))</f>
        <v/>
      </c>
      <c r="P65" s="16"/>
      <c r="Q65" s="16"/>
    </row>
    <row r="66" customFormat="false" ht="15" hidden="false" customHeight="false" outlineLevel="0" collapsed="false">
      <c r="A66" s="13" t="n">
        <v>5</v>
      </c>
      <c r="B66" s="14" t="n">
        <v>46300</v>
      </c>
      <c r="C66" s="13" t="s">
        <v>74</v>
      </c>
      <c r="D66" s="13" t="s">
        <v>75</v>
      </c>
      <c r="E66" s="13" t="n">
        <v>10</v>
      </c>
      <c r="F66" s="15" t="str">
        <f aca="false">Jugadores!$B$10</f>
        <v>Jugador 6</v>
      </c>
      <c r="G66" s="16"/>
      <c r="H66" s="16"/>
      <c r="I66" s="16"/>
      <c r="J66" s="17" t="str">
        <f aca="false">IF(COUNT(G66:I66)=0,"",G66*55+H66*50+I66*50)</f>
        <v/>
      </c>
      <c r="K66" s="16"/>
      <c r="L66" s="16"/>
      <c r="M66" s="16"/>
      <c r="N66" s="17" t="str">
        <f aca="false">IF(COUNT(K66:M66)=0,"",MAX(K66:M66))</f>
        <v/>
      </c>
      <c r="O66" s="18" t="str">
        <f aca="false">IF(N66="","",IF(N66&gt;=7,"Sin pliometría ni velocidad. Solo isométricos, movilidad y tren superior. Valoración médica",IF(N66&gt;=4,"Sin pliometría el lunes. Sentadilla española 5x45 s","Sesión normal")))</f>
        <v/>
      </c>
      <c r="P66" s="16"/>
      <c r="Q66" s="16"/>
    </row>
    <row r="67" customFormat="false" ht="15" hidden="false" customHeight="false" outlineLevel="0" collapsed="false">
      <c r="A67" s="13" t="n">
        <v>5</v>
      </c>
      <c r="B67" s="14" t="n">
        <v>46300</v>
      </c>
      <c r="C67" s="13" t="s">
        <v>74</v>
      </c>
      <c r="D67" s="13" t="s">
        <v>75</v>
      </c>
      <c r="E67" s="13" t="n">
        <v>10</v>
      </c>
      <c r="F67" s="15" t="str">
        <f aca="false">Jugadores!$B$11</f>
        <v>Jugador 7</v>
      </c>
      <c r="G67" s="16"/>
      <c r="H67" s="16"/>
      <c r="I67" s="16"/>
      <c r="J67" s="17" t="str">
        <f aca="false">IF(COUNT(G67:I67)=0,"",G67*55+H67*50+I67*50)</f>
        <v/>
      </c>
      <c r="K67" s="16"/>
      <c r="L67" s="16"/>
      <c r="M67" s="16"/>
      <c r="N67" s="17" t="str">
        <f aca="false">IF(COUNT(K67:M67)=0,"",MAX(K67:M67))</f>
        <v/>
      </c>
      <c r="O67" s="18" t="str">
        <f aca="false">IF(N67="","",IF(N67&gt;=7,"Sin pliometría ni velocidad. Solo isométricos, movilidad y tren superior. Valoración médica",IF(N67&gt;=4,"Sin pliometría el lunes. Sentadilla española 5x45 s","Sesión normal")))</f>
        <v/>
      </c>
      <c r="P67" s="16"/>
      <c r="Q67" s="16"/>
    </row>
    <row r="68" customFormat="false" ht="15" hidden="false" customHeight="false" outlineLevel="0" collapsed="false">
      <c r="A68" s="13" t="n">
        <v>5</v>
      </c>
      <c r="B68" s="14" t="n">
        <v>46300</v>
      </c>
      <c r="C68" s="13" t="s">
        <v>74</v>
      </c>
      <c r="D68" s="13" t="s">
        <v>75</v>
      </c>
      <c r="E68" s="13" t="n">
        <v>10</v>
      </c>
      <c r="F68" s="15" t="str">
        <f aca="false">Jugadores!$B$12</f>
        <v>Jugador 8</v>
      </c>
      <c r="G68" s="16"/>
      <c r="H68" s="16"/>
      <c r="I68" s="16"/>
      <c r="J68" s="17" t="str">
        <f aca="false">IF(COUNT(G68:I68)=0,"",G68*55+H68*50+I68*50)</f>
        <v/>
      </c>
      <c r="K68" s="16"/>
      <c r="L68" s="16"/>
      <c r="M68" s="16"/>
      <c r="N68" s="17" t="str">
        <f aca="false">IF(COUNT(K68:M68)=0,"",MAX(K68:M68))</f>
        <v/>
      </c>
      <c r="O68" s="18" t="str">
        <f aca="false">IF(N68="","",IF(N68&gt;=7,"Sin pliometría ni velocidad. Solo isométricos, movilidad y tren superior. Valoración médica",IF(N68&gt;=4,"Sin pliometría el lunes. Sentadilla española 5x45 s","Sesión normal")))</f>
        <v/>
      </c>
      <c r="P68" s="16"/>
      <c r="Q68" s="16"/>
    </row>
    <row r="69" customFormat="false" ht="15" hidden="false" customHeight="false" outlineLevel="0" collapsed="false">
      <c r="A69" s="13" t="n">
        <v>5</v>
      </c>
      <c r="B69" s="14" t="n">
        <v>46300</v>
      </c>
      <c r="C69" s="13" t="s">
        <v>74</v>
      </c>
      <c r="D69" s="13" t="s">
        <v>75</v>
      </c>
      <c r="E69" s="13" t="n">
        <v>10</v>
      </c>
      <c r="F69" s="15" t="str">
        <f aca="false">Jugadores!$B$13</f>
        <v>Jugador 9</v>
      </c>
      <c r="G69" s="16"/>
      <c r="H69" s="16"/>
      <c r="I69" s="16"/>
      <c r="J69" s="17" t="str">
        <f aca="false">IF(COUNT(G69:I69)=0,"",G69*55+H69*50+I69*50)</f>
        <v/>
      </c>
      <c r="K69" s="16"/>
      <c r="L69" s="16"/>
      <c r="M69" s="16"/>
      <c r="N69" s="17" t="str">
        <f aca="false">IF(COUNT(K69:M69)=0,"",MAX(K69:M69))</f>
        <v/>
      </c>
      <c r="O69" s="18" t="str">
        <f aca="false">IF(N69="","",IF(N69&gt;=7,"Sin pliometría ni velocidad. Solo isométricos, movilidad y tren superior. Valoración médica",IF(N69&gt;=4,"Sin pliometría el lunes. Sentadilla española 5x45 s","Sesión normal")))</f>
        <v/>
      </c>
      <c r="P69" s="16"/>
      <c r="Q69" s="16"/>
    </row>
    <row r="70" customFormat="false" ht="15" hidden="false" customHeight="false" outlineLevel="0" collapsed="false">
      <c r="A70" s="13" t="n">
        <v>5</v>
      </c>
      <c r="B70" s="14" t="n">
        <v>46300</v>
      </c>
      <c r="C70" s="13" t="s">
        <v>74</v>
      </c>
      <c r="D70" s="13" t="s">
        <v>75</v>
      </c>
      <c r="E70" s="13" t="n">
        <v>10</v>
      </c>
      <c r="F70" s="15" t="str">
        <f aca="false">Jugadores!$B$14</f>
        <v>Jugador 10</v>
      </c>
      <c r="G70" s="16"/>
      <c r="H70" s="16"/>
      <c r="I70" s="16"/>
      <c r="J70" s="17" t="str">
        <f aca="false">IF(COUNT(G70:I70)=0,"",G70*55+H70*50+I70*50)</f>
        <v/>
      </c>
      <c r="K70" s="16"/>
      <c r="L70" s="16"/>
      <c r="M70" s="16"/>
      <c r="N70" s="17" t="str">
        <f aca="false">IF(COUNT(K70:M70)=0,"",MAX(K70:M70))</f>
        <v/>
      </c>
      <c r="O70" s="18" t="str">
        <f aca="false">IF(N70="","",IF(N70&gt;=7,"Sin pliometría ni velocidad. Solo isométricos, movilidad y tren superior. Valoración médica",IF(N70&gt;=4,"Sin pliometría el lunes. Sentadilla española 5x45 s","Sesión normal")))</f>
        <v/>
      </c>
      <c r="P70" s="16"/>
      <c r="Q70" s="16"/>
    </row>
    <row r="71" customFormat="false" ht="15" hidden="false" customHeight="false" outlineLevel="0" collapsed="false">
      <c r="A71" s="13" t="n">
        <v>5</v>
      </c>
      <c r="B71" s="14" t="n">
        <v>46300</v>
      </c>
      <c r="C71" s="13" t="s">
        <v>74</v>
      </c>
      <c r="D71" s="13" t="s">
        <v>75</v>
      </c>
      <c r="E71" s="13" t="n">
        <v>10</v>
      </c>
      <c r="F71" s="15" t="str">
        <f aca="false">Jugadores!$B$15</f>
        <v>Jugador 11</v>
      </c>
      <c r="G71" s="16"/>
      <c r="H71" s="16"/>
      <c r="I71" s="16"/>
      <c r="J71" s="17" t="str">
        <f aca="false">IF(COUNT(G71:I71)=0,"",G71*55+H71*50+I71*50)</f>
        <v/>
      </c>
      <c r="K71" s="16"/>
      <c r="L71" s="16"/>
      <c r="M71" s="16"/>
      <c r="N71" s="17" t="str">
        <f aca="false">IF(COUNT(K71:M71)=0,"",MAX(K71:M71))</f>
        <v/>
      </c>
      <c r="O71" s="18" t="str">
        <f aca="false">IF(N71="","",IF(N71&gt;=7,"Sin pliometría ni velocidad. Solo isométricos, movilidad y tren superior. Valoración médica",IF(N71&gt;=4,"Sin pliometría el lunes. Sentadilla española 5x45 s","Sesión normal")))</f>
        <v/>
      </c>
      <c r="P71" s="16"/>
      <c r="Q71" s="16"/>
    </row>
    <row r="72" customFormat="false" ht="15" hidden="false" customHeight="false" outlineLevel="0" collapsed="false">
      <c r="A72" s="13" t="n">
        <v>5</v>
      </c>
      <c r="B72" s="14" t="n">
        <v>46300</v>
      </c>
      <c r="C72" s="13" t="s">
        <v>74</v>
      </c>
      <c r="D72" s="13" t="s">
        <v>75</v>
      </c>
      <c r="E72" s="13" t="n">
        <v>10</v>
      </c>
      <c r="F72" s="15" t="str">
        <f aca="false">Jugadores!$B$16</f>
        <v>Jugador 12</v>
      </c>
      <c r="G72" s="16"/>
      <c r="H72" s="16"/>
      <c r="I72" s="16"/>
      <c r="J72" s="17" t="str">
        <f aca="false">IF(COUNT(G72:I72)=0,"",G72*55+H72*50+I72*50)</f>
        <v/>
      </c>
      <c r="K72" s="16"/>
      <c r="L72" s="16"/>
      <c r="M72" s="16"/>
      <c r="N72" s="17" t="str">
        <f aca="false">IF(COUNT(K72:M72)=0,"",MAX(K72:M72))</f>
        <v/>
      </c>
      <c r="O72" s="18" t="str">
        <f aca="false">IF(N72="","",IF(N72&gt;=7,"Sin pliometría ni velocidad. Solo isométricos, movilidad y tren superior. Valoración médica",IF(N72&gt;=4,"Sin pliometría el lunes. Sentadilla española 5x45 s","Sesión normal")))</f>
        <v/>
      </c>
      <c r="P72" s="16"/>
      <c r="Q72" s="16"/>
    </row>
    <row r="73" customFormat="false" ht="15" hidden="false" customHeight="false" outlineLevel="0" collapsed="false">
      <c r="A73" s="13" t="n">
        <v>5</v>
      </c>
      <c r="B73" s="14" t="n">
        <v>46300</v>
      </c>
      <c r="C73" s="13" t="s">
        <v>74</v>
      </c>
      <c r="D73" s="13" t="s">
        <v>75</v>
      </c>
      <c r="E73" s="13" t="n">
        <v>10</v>
      </c>
      <c r="F73" s="15" t="str">
        <f aca="false">Jugadores!$B$17</f>
        <v>Jugador 13</v>
      </c>
      <c r="G73" s="16"/>
      <c r="H73" s="16"/>
      <c r="I73" s="16"/>
      <c r="J73" s="17" t="str">
        <f aca="false">IF(COUNT(G73:I73)=0,"",G73*55+H73*50+I73*50)</f>
        <v/>
      </c>
      <c r="K73" s="16"/>
      <c r="L73" s="16"/>
      <c r="M73" s="16"/>
      <c r="N73" s="17" t="str">
        <f aca="false">IF(COUNT(K73:M73)=0,"",MAX(K73:M73))</f>
        <v/>
      </c>
      <c r="O73" s="18" t="str">
        <f aca="false">IF(N73="","",IF(N73&gt;=7,"Sin pliometría ni velocidad. Solo isométricos, movilidad y tren superior. Valoración médica",IF(N73&gt;=4,"Sin pliometría el lunes. Sentadilla española 5x45 s","Sesión normal")))</f>
        <v/>
      </c>
      <c r="P73" s="16"/>
      <c r="Q73" s="16"/>
    </row>
    <row r="74" customFormat="false" ht="15" hidden="false" customHeight="false" outlineLevel="0" collapsed="false">
      <c r="A74" s="13" t="n">
        <v>5</v>
      </c>
      <c r="B74" s="14" t="n">
        <v>46300</v>
      </c>
      <c r="C74" s="13" t="s">
        <v>74</v>
      </c>
      <c r="D74" s="13" t="s">
        <v>75</v>
      </c>
      <c r="E74" s="13" t="n">
        <v>10</v>
      </c>
      <c r="F74" s="15" t="str">
        <f aca="false">Jugadores!$B$18</f>
        <v>Jugador 14</v>
      </c>
      <c r="G74" s="16"/>
      <c r="H74" s="16"/>
      <c r="I74" s="16"/>
      <c r="J74" s="17" t="str">
        <f aca="false">IF(COUNT(G74:I74)=0,"",G74*55+H74*50+I74*50)</f>
        <v/>
      </c>
      <c r="K74" s="16"/>
      <c r="L74" s="16"/>
      <c r="M74" s="16"/>
      <c r="N74" s="17" t="str">
        <f aca="false">IF(COUNT(K74:M74)=0,"",MAX(K74:M74))</f>
        <v/>
      </c>
      <c r="O74" s="18" t="str">
        <f aca="false">IF(N74="","",IF(N74&gt;=7,"Sin pliometría ni velocidad. Solo isométricos, movilidad y tren superior. Valoración médica",IF(N74&gt;=4,"Sin pliometría el lunes. Sentadilla española 5x45 s","Sesión normal")))</f>
        <v/>
      </c>
      <c r="P74" s="16"/>
      <c r="Q74" s="16"/>
    </row>
    <row r="75" customFormat="false" ht="15" hidden="false" customHeight="false" outlineLevel="0" collapsed="false">
      <c r="A75" s="13" t="n">
        <v>6</v>
      </c>
      <c r="B75" s="14" t="n">
        <v>46307</v>
      </c>
      <c r="C75" s="13" t="s">
        <v>74</v>
      </c>
      <c r="D75" s="13" t="s">
        <v>76</v>
      </c>
      <c r="E75" s="13" t="n">
        <v>8</v>
      </c>
      <c r="F75" s="15" t="str">
        <f aca="false">Jugadores!$B$5</f>
        <v>Jugador 1</v>
      </c>
      <c r="G75" s="16"/>
      <c r="H75" s="16"/>
      <c r="I75" s="16"/>
      <c r="J75" s="17" t="str">
        <f aca="false">IF(COUNT(G75:I75)=0,"",G75*55+H75*50+I75*50)</f>
        <v/>
      </c>
      <c r="K75" s="16"/>
      <c r="L75" s="16"/>
      <c r="M75" s="16"/>
      <c r="N75" s="17" t="str">
        <f aca="false">IF(COUNT(K75:M75)=0,"",MAX(K75:M75))</f>
        <v/>
      </c>
      <c r="O75" s="18" t="str">
        <f aca="false">IF(N75="","",IF(N75&gt;=7,"Sin pliometría ni velocidad. Solo isométricos, movilidad y tren superior. Valoración médica",IF(N75&gt;=4,"Sin pliometría el lunes. Sentadilla española 5x45 s","Sesión normal")))</f>
        <v/>
      </c>
      <c r="P75" s="16"/>
      <c r="Q75" s="16"/>
    </row>
    <row r="76" customFormat="false" ht="15" hidden="false" customHeight="false" outlineLevel="0" collapsed="false">
      <c r="A76" s="13" t="n">
        <v>6</v>
      </c>
      <c r="B76" s="14" t="n">
        <v>46307</v>
      </c>
      <c r="C76" s="13" t="s">
        <v>74</v>
      </c>
      <c r="D76" s="13" t="s">
        <v>76</v>
      </c>
      <c r="E76" s="13" t="n">
        <v>8</v>
      </c>
      <c r="F76" s="15" t="str">
        <f aca="false">Jugadores!$B$6</f>
        <v>Jugador 2</v>
      </c>
      <c r="G76" s="16"/>
      <c r="H76" s="16"/>
      <c r="I76" s="16"/>
      <c r="J76" s="17" t="str">
        <f aca="false">IF(COUNT(G76:I76)=0,"",G76*55+H76*50+I76*50)</f>
        <v/>
      </c>
      <c r="K76" s="16"/>
      <c r="L76" s="16"/>
      <c r="M76" s="16"/>
      <c r="N76" s="17" t="str">
        <f aca="false">IF(COUNT(K76:M76)=0,"",MAX(K76:M76))</f>
        <v/>
      </c>
      <c r="O76" s="18" t="str">
        <f aca="false">IF(N76="","",IF(N76&gt;=7,"Sin pliometría ni velocidad. Solo isométricos, movilidad y tren superior. Valoración médica",IF(N76&gt;=4,"Sin pliometría el lunes. Sentadilla española 5x45 s","Sesión normal")))</f>
        <v/>
      </c>
      <c r="P76" s="16"/>
      <c r="Q76" s="16"/>
    </row>
    <row r="77" customFormat="false" ht="15" hidden="false" customHeight="false" outlineLevel="0" collapsed="false">
      <c r="A77" s="13" t="n">
        <v>6</v>
      </c>
      <c r="B77" s="14" t="n">
        <v>46307</v>
      </c>
      <c r="C77" s="13" t="s">
        <v>74</v>
      </c>
      <c r="D77" s="13" t="s">
        <v>76</v>
      </c>
      <c r="E77" s="13" t="n">
        <v>8</v>
      </c>
      <c r="F77" s="15" t="str">
        <f aca="false">Jugadores!$B$7</f>
        <v>Jugador 3</v>
      </c>
      <c r="G77" s="16"/>
      <c r="H77" s="16"/>
      <c r="I77" s="16"/>
      <c r="J77" s="17" t="str">
        <f aca="false">IF(COUNT(G77:I77)=0,"",G77*55+H77*50+I77*50)</f>
        <v/>
      </c>
      <c r="K77" s="16"/>
      <c r="L77" s="16"/>
      <c r="M77" s="16"/>
      <c r="N77" s="17" t="str">
        <f aca="false">IF(COUNT(K77:M77)=0,"",MAX(K77:M77))</f>
        <v/>
      </c>
      <c r="O77" s="18" t="str">
        <f aca="false">IF(N77="","",IF(N77&gt;=7,"Sin pliometría ni velocidad. Solo isométricos, movilidad y tren superior. Valoración médica",IF(N77&gt;=4,"Sin pliometría el lunes. Sentadilla española 5x45 s","Sesión normal")))</f>
        <v/>
      </c>
      <c r="P77" s="16"/>
      <c r="Q77" s="16"/>
    </row>
    <row r="78" customFormat="false" ht="15" hidden="false" customHeight="false" outlineLevel="0" collapsed="false">
      <c r="A78" s="13" t="n">
        <v>6</v>
      </c>
      <c r="B78" s="14" t="n">
        <v>46307</v>
      </c>
      <c r="C78" s="13" t="s">
        <v>74</v>
      </c>
      <c r="D78" s="13" t="s">
        <v>76</v>
      </c>
      <c r="E78" s="13" t="n">
        <v>8</v>
      </c>
      <c r="F78" s="15" t="str">
        <f aca="false">Jugadores!$B$8</f>
        <v>Jugador 4</v>
      </c>
      <c r="G78" s="16"/>
      <c r="H78" s="16"/>
      <c r="I78" s="16"/>
      <c r="J78" s="17" t="str">
        <f aca="false">IF(COUNT(G78:I78)=0,"",G78*55+H78*50+I78*50)</f>
        <v/>
      </c>
      <c r="K78" s="16"/>
      <c r="L78" s="16"/>
      <c r="M78" s="16"/>
      <c r="N78" s="17" t="str">
        <f aca="false">IF(COUNT(K78:M78)=0,"",MAX(K78:M78))</f>
        <v/>
      </c>
      <c r="O78" s="18" t="str">
        <f aca="false">IF(N78="","",IF(N78&gt;=7,"Sin pliometría ni velocidad. Solo isométricos, movilidad y tren superior. Valoración médica",IF(N78&gt;=4,"Sin pliometría el lunes. Sentadilla española 5x45 s","Sesión normal")))</f>
        <v/>
      </c>
      <c r="P78" s="16"/>
      <c r="Q78" s="16"/>
    </row>
    <row r="79" customFormat="false" ht="15" hidden="false" customHeight="false" outlineLevel="0" collapsed="false">
      <c r="A79" s="13" t="n">
        <v>6</v>
      </c>
      <c r="B79" s="14" t="n">
        <v>46307</v>
      </c>
      <c r="C79" s="13" t="s">
        <v>74</v>
      </c>
      <c r="D79" s="13" t="s">
        <v>76</v>
      </c>
      <c r="E79" s="13" t="n">
        <v>8</v>
      </c>
      <c r="F79" s="15" t="str">
        <f aca="false">Jugadores!$B$9</f>
        <v>Jugador 5</v>
      </c>
      <c r="G79" s="16"/>
      <c r="H79" s="16"/>
      <c r="I79" s="16"/>
      <c r="J79" s="17" t="str">
        <f aca="false">IF(COUNT(G79:I79)=0,"",G79*55+H79*50+I79*50)</f>
        <v/>
      </c>
      <c r="K79" s="16"/>
      <c r="L79" s="16"/>
      <c r="M79" s="16"/>
      <c r="N79" s="17" t="str">
        <f aca="false">IF(COUNT(K79:M79)=0,"",MAX(K79:M79))</f>
        <v/>
      </c>
      <c r="O79" s="18" t="str">
        <f aca="false">IF(N79="","",IF(N79&gt;=7,"Sin pliometría ni velocidad. Solo isométricos, movilidad y tren superior. Valoración médica",IF(N79&gt;=4,"Sin pliometría el lunes. Sentadilla española 5x45 s","Sesión normal")))</f>
        <v/>
      </c>
      <c r="P79" s="16"/>
      <c r="Q79" s="16"/>
    </row>
    <row r="80" customFormat="false" ht="15" hidden="false" customHeight="false" outlineLevel="0" collapsed="false">
      <c r="A80" s="13" t="n">
        <v>6</v>
      </c>
      <c r="B80" s="14" t="n">
        <v>46307</v>
      </c>
      <c r="C80" s="13" t="s">
        <v>74</v>
      </c>
      <c r="D80" s="13" t="s">
        <v>76</v>
      </c>
      <c r="E80" s="13" t="n">
        <v>8</v>
      </c>
      <c r="F80" s="15" t="str">
        <f aca="false">Jugadores!$B$10</f>
        <v>Jugador 6</v>
      </c>
      <c r="G80" s="16"/>
      <c r="H80" s="16"/>
      <c r="I80" s="16"/>
      <c r="J80" s="17" t="str">
        <f aca="false">IF(COUNT(G80:I80)=0,"",G80*55+H80*50+I80*50)</f>
        <v/>
      </c>
      <c r="K80" s="16"/>
      <c r="L80" s="16"/>
      <c r="M80" s="16"/>
      <c r="N80" s="17" t="str">
        <f aca="false">IF(COUNT(K80:M80)=0,"",MAX(K80:M80))</f>
        <v/>
      </c>
      <c r="O80" s="18" t="str">
        <f aca="false">IF(N80="","",IF(N80&gt;=7,"Sin pliometría ni velocidad. Solo isométricos, movilidad y tren superior. Valoración médica",IF(N80&gt;=4,"Sin pliometría el lunes. Sentadilla española 5x45 s","Sesión normal")))</f>
        <v/>
      </c>
      <c r="P80" s="16"/>
      <c r="Q80" s="16"/>
    </row>
    <row r="81" customFormat="false" ht="15" hidden="false" customHeight="false" outlineLevel="0" collapsed="false">
      <c r="A81" s="13" t="n">
        <v>6</v>
      </c>
      <c r="B81" s="14" t="n">
        <v>46307</v>
      </c>
      <c r="C81" s="13" t="s">
        <v>74</v>
      </c>
      <c r="D81" s="13" t="s">
        <v>76</v>
      </c>
      <c r="E81" s="13" t="n">
        <v>8</v>
      </c>
      <c r="F81" s="15" t="str">
        <f aca="false">Jugadores!$B$11</f>
        <v>Jugador 7</v>
      </c>
      <c r="G81" s="16"/>
      <c r="H81" s="16"/>
      <c r="I81" s="16"/>
      <c r="J81" s="17" t="str">
        <f aca="false">IF(COUNT(G81:I81)=0,"",G81*55+H81*50+I81*50)</f>
        <v/>
      </c>
      <c r="K81" s="16"/>
      <c r="L81" s="16"/>
      <c r="M81" s="16"/>
      <c r="N81" s="17" t="str">
        <f aca="false">IF(COUNT(K81:M81)=0,"",MAX(K81:M81))</f>
        <v/>
      </c>
      <c r="O81" s="18" t="str">
        <f aca="false">IF(N81="","",IF(N81&gt;=7,"Sin pliometría ni velocidad. Solo isométricos, movilidad y tren superior. Valoración médica",IF(N81&gt;=4,"Sin pliometría el lunes. Sentadilla española 5x45 s","Sesión normal")))</f>
        <v/>
      </c>
      <c r="P81" s="16"/>
      <c r="Q81" s="16"/>
    </row>
    <row r="82" customFormat="false" ht="15" hidden="false" customHeight="false" outlineLevel="0" collapsed="false">
      <c r="A82" s="13" t="n">
        <v>6</v>
      </c>
      <c r="B82" s="14" t="n">
        <v>46307</v>
      </c>
      <c r="C82" s="13" t="s">
        <v>74</v>
      </c>
      <c r="D82" s="13" t="s">
        <v>76</v>
      </c>
      <c r="E82" s="13" t="n">
        <v>8</v>
      </c>
      <c r="F82" s="15" t="str">
        <f aca="false">Jugadores!$B$12</f>
        <v>Jugador 8</v>
      </c>
      <c r="G82" s="16"/>
      <c r="H82" s="16"/>
      <c r="I82" s="16"/>
      <c r="J82" s="17" t="str">
        <f aca="false">IF(COUNT(G82:I82)=0,"",G82*55+H82*50+I82*50)</f>
        <v/>
      </c>
      <c r="K82" s="16"/>
      <c r="L82" s="16"/>
      <c r="M82" s="16"/>
      <c r="N82" s="17" t="str">
        <f aca="false">IF(COUNT(K82:M82)=0,"",MAX(K82:M82))</f>
        <v/>
      </c>
      <c r="O82" s="18" t="str">
        <f aca="false">IF(N82="","",IF(N82&gt;=7,"Sin pliometría ni velocidad. Solo isométricos, movilidad y tren superior. Valoración médica",IF(N82&gt;=4,"Sin pliometría el lunes. Sentadilla española 5x45 s","Sesión normal")))</f>
        <v/>
      </c>
      <c r="P82" s="16"/>
      <c r="Q82" s="16"/>
    </row>
    <row r="83" customFormat="false" ht="15" hidden="false" customHeight="false" outlineLevel="0" collapsed="false">
      <c r="A83" s="13" t="n">
        <v>6</v>
      </c>
      <c r="B83" s="14" t="n">
        <v>46307</v>
      </c>
      <c r="C83" s="13" t="s">
        <v>74</v>
      </c>
      <c r="D83" s="13" t="s">
        <v>76</v>
      </c>
      <c r="E83" s="13" t="n">
        <v>8</v>
      </c>
      <c r="F83" s="15" t="str">
        <f aca="false">Jugadores!$B$13</f>
        <v>Jugador 9</v>
      </c>
      <c r="G83" s="16"/>
      <c r="H83" s="16"/>
      <c r="I83" s="16"/>
      <c r="J83" s="17" t="str">
        <f aca="false">IF(COUNT(G83:I83)=0,"",G83*55+H83*50+I83*50)</f>
        <v/>
      </c>
      <c r="K83" s="16"/>
      <c r="L83" s="16"/>
      <c r="M83" s="16"/>
      <c r="N83" s="17" t="str">
        <f aca="false">IF(COUNT(K83:M83)=0,"",MAX(K83:M83))</f>
        <v/>
      </c>
      <c r="O83" s="18" t="str">
        <f aca="false">IF(N83="","",IF(N83&gt;=7,"Sin pliometría ni velocidad. Solo isométricos, movilidad y tren superior. Valoración médica",IF(N83&gt;=4,"Sin pliometría el lunes. Sentadilla española 5x45 s","Sesión normal")))</f>
        <v/>
      </c>
      <c r="P83" s="16"/>
      <c r="Q83" s="16"/>
    </row>
    <row r="84" customFormat="false" ht="15" hidden="false" customHeight="false" outlineLevel="0" collapsed="false">
      <c r="A84" s="13" t="n">
        <v>6</v>
      </c>
      <c r="B84" s="14" t="n">
        <v>46307</v>
      </c>
      <c r="C84" s="13" t="s">
        <v>74</v>
      </c>
      <c r="D84" s="13" t="s">
        <v>76</v>
      </c>
      <c r="E84" s="13" t="n">
        <v>8</v>
      </c>
      <c r="F84" s="15" t="str">
        <f aca="false">Jugadores!$B$14</f>
        <v>Jugador 10</v>
      </c>
      <c r="G84" s="16"/>
      <c r="H84" s="16"/>
      <c r="I84" s="16"/>
      <c r="J84" s="17" t="str">
        <f aca="false">IF(COUNT(G84:I84)=0,"",G84*55+H84*50+I84*50)</f>
        <v/>
      </c>
      <c r="K84" s="16"/>
      <c r="L84" s="16"/>
      <c r="M84" s="16"/>
      <c r="N84" s="17" t="str">
        <f aca="false">IF(COUNT(K84:M84)=0,"",MAX(K84:M84))</f>
        <v/>
      </c>
      <c r="O84" s="18" t="str">
        <f aca="false">IF(N84="","",IF(N84&gt;=7,"Sin pliometría ni velocidad. Solo isométricos, movilidad y tren superior. Valoración médica",IF(N84&gt;=4,"Sin pliometría el lunes. Sentadilla española 5x45 s","Sesión normal")))</f>
        <v/>
      </c>
      <c r="P84" s="16"/>
      <c r="Q84" s="16"/>
    </row>
    <row r="85" customFormat="false" ht="15" hidden="false" customHeight="false" outlineLevel="0" collapsed="false">
      <c r="A85" s="13" t="n">
        <v>6</v>
      </c>
      <c r="B85" s="14" t="n">
        <v>46307</v>
      </c>
      <c r="C85" s="13" t="s">
        <v>74</v>
      </c>
      <c r="D85" s="13" t="s">
        <v>76</v>
      </c>
      <c r="E85" s="13" t="n">
        <v>8</v>
      </c>
      <c r="F85" s="15" t="str">
        <f aca="false">Jugadores!$B$15</f>
        <v>Jugador 11</v>
      </c>
      <c r="G85" s="16"/>
      <c r="H85" s="16"/>
      <c r="I85" s="16"/>
      <c r="J85" s="17" t="str">
        <f aca="false">IF(COUNT(G85:I85)=0,"",G85*55+H85*50+I85*50)</f>
        <v/>
      </c>
      <c r="K85" s="16"/>
      <c r="L85" s="16"/>
      <c r="M85" s="16"/>
      <c r="N85" s="17" t="str">
        <f aca="false">IF(COUNT(K85:M85)=0,"",MAX(K85:M85))</f>
        <v/>
      </c>
      <c r="O85" s="18" t="str">
        <f aca="false">IF(N85="","",IF(N85&gt;=7,"Sin pliometría ni velocidad. Solo isométricos, movilidad y tren superior. Valoración médica",IF(N85&gt;=4,"Sin pliometría el lunes. Sentadilla española 5x45 s","Sesión normal")))</f>
        <v/>
      </c>
      <c r="P85" s="16"/>
      <c r="Q85" s="16"/>
    </row>
    <row r="86" customFormat="false" ht="15" hidden="false" customHeight="false" outlineLevel="0" collapsed="false">
      <c r="A86" s="13" t="n">
        <v>6</v>
      </c>
      <c r="B86" s="14" t="n">
        <v>46307</v>
      </c>
      <c r="C86" s="13" t="s">
        <v>74</v>
      </c>
      <c r="D86" s="13" t="s">
        <v>76</v>
      </c>
      <c r="E86" s="13" t="n">
        <v>8</v>
      </c>
      <c r="F86" s="15" t="str">
        <f aca="false">Jugadores!$B$16</f>
        <v>Jugador 12</v>
      </c>
      <c r="G86" s="16"/>
      <c r="H86" s="16"/>
      <c r="I86" s="16"/>
      <c r="J86" s="17" t="str">
        <f aca="false">IF(COUNT(G86:I86)=0,"",G86*55+H86*50+I86*50)</f>
        <v/>
      </c>
      <c r="K86" s="16"/>
      <c r="L86" s="16"/>
      <c r="M86" s="16"/>
      <c r="N86" s="17" t="str">
        <f aca="false">IF(COUNT(K86:M86)=0,"",MAX(K86:M86))</f>
        <v/>
      </c>
      <c r="O86" s="18" t="str">
        <f aca="false">IF(N86="","",IF(N86&gt;=7,"Sin pliometría ni velocidad. Solo isométricos, movilidad y tren superior. Valoración médica",IF(N86&gt;=4,"Sin pliometría el lunes. Sentadilla española 5x45 s","Sesión normal")))</f>
        <v/>
      </c>
      <c r="P86" s="16"/>
      <c r="Q86" s="16"/>
    </row>
    <row r="87" customFormat="false" ht="15" hidden="false" customHeight="false" outlineLevel="0" collapsed="false">
      <c r="A87" s="13" t="n">
        <v>6</v>
      </c>
      <c r="B87" s="14" t="n">
        <v>46307</v>
      </c>
      <c r="C87" s="13" t="s">
        <v>74</v>
      </c>
      <c r="D87" s="13" t="s">
        <v>76</v>
      </c>
      <c r="E87" s="13" t="n">
        <v>8</v>
      </c>
      <c r="F87" s="15" t="str">
        <f aca="false">Jugadores!$B$17</f>
        <v>Jugador 13</v>
      </c>
      <c r="G87" s="16"/>
      <c r="H87" s="16"/>
      <c r="I87" s="16"/>
      <c r="J87" s="17" t="str">
        <f aca="false">IF(COUNT(G87:I87)=0,"",G87*55+H87*50+I87*50)</f>
        <v/>
      </c>
      <c r="K87" s="16"/>
      <c r="L87" s="16"/>
      <c r="M87" s="16"/>
      <c r="N87" s="17" t="str">
        <f aca="false">IF(COUNT(K87:M87)=0,"",MAX(K87:M87))</f>
        <v/>
      </c>
      <c r="O87" s="18" t="str">
        <f aca="false">IF(N87="","",IF(N87&gt;=7,"Sin pliometría ni velocidad. Solo isométricos, movilidad y tren superior. Valoración médica",IF(N87&gt;=4,"Sin pliometría el lunes. Sentadilla española 5x45 s","Sesión normal")))</f>
        <v/>
      </c>
      <c r="P87" s="16"/>
      <c r="Q87" s="16"/>
    </row>
    <row r="88" customFormat="false" ht="15" hidden="false" customHeight="false" outlineLevel="0" collapsed="false">
      <c r="A88" s="13" t="n">
        <v>6</v>
      </c>
      <c r="B88" s="14" t="n">
        <v>46307</v>
      </c>
      <c r="C88" s="13" t="s">
        <v>74</v>
      </c>
      <c r="D88" s="13" t="s">
        <v>76</v>
      </c>
      <c r="E88" s="13" t="n">
        <v>8</v>
      </c>
      <c r="F88" s="15" t="str">
        <f aca="false">Jugadores!$B$18</f>
        <v>Jugador 14</v>
      </c>
      <c r="G88" s="16"/>
      <c r="H88" s="16"/>
      <c r="I88" s="16"/>
      <c r="J88" s="17" t="str">
        <f aca="false">IF(COUNT(G88:I88)=0,"",G88*55+H88*50+I88*50)</f>
        <v/>
      </c>
      <c r="K88" s="16"/>
      <c r="L88" s="16"/>
      <c r="M88" s="16"/>
      <c r="N88" s="17" t="str">
        <f aca="false">IF(COUNT(K88:M88)=0,"",MAX(K88:M88))</f>
        <v/>
      </c>
      <c r="O88" s="18" t="str">
        <f aca="false">IF(N88="","",IF(N88&gt;=7,"Sin pliometría ni velocidad. Solo isométricos, movilidad y tren superior. Valoración médica",IF(N88&gt;=4,"Sin pliometría el lunes. Sentadilla española 5x45 s","Sesión normal")))</f>
        <v/>
      </c>
      <c r="P88" s="16"/>
      <c r="Q88" s="16"/>
    </row>
    <row r="89" customFormat="false" ht="15" hidden="false" customHeight="false" outlineLevel="0" collapsed="false">
      <c r="A89" s="13" t="n">
        <v>7</v>
      </c>
      <c r="B89" s="14" t="n">
        <v>46314</v>
      </c>
      <c r="C89" s="13" t="s">
        <v>74</v>
      </c>
      <c r="D89" s="13" t="s">
        <v>77</v>
      </c>
      <c r="E89" s="13" t="n">
        <v>9</v>
      </c>
      <c r="F89" s="15" t="str">
        <f aca="false">Jugadores!$B$5</f>
        <v>Jugador 1</v>
      </c>
      <c r="G89" s="16"/>
      <c r="H89" s="16"/>
      <c r="I89" s="16"/>
      <c r="J89" s="17" t="str">
        <f aca="false">IF(COUNT(G89:I89)=0,"",G89*55+H89*50+I89*50)</f>
        <v/>
      </c>
      <c r="K89" s="16"/>
      <c r="L89" s="16"/>
      <c r="M89" s="16"/>
      <c r="N89" s="17" t="str">
        <f aca="false">IF(COUNT(K89:M89)=0,"",MAX(K89:M89))</f>
        <v/>
      </c>
      <c r="O89" s="18" t="str">
        <f aca="false">IF(N89="","",IF(N89&gt;=7,"Sin pliometría ni velocidad. Solo isométricos, movilidad y tren superior. Valoración médica",IF(N89&gt;=4,"Sin pliometría el lunes. Sentadilla española 5x45 s","Sesión normal")))</f>
        <v/>
      </c>
      <c r="P89" s="16"/>
      <c r="Q89" s="16"/>
    </row>
    <row r="90" customFormat="false" ht="15" hidden="false" customHeight="false" outlineLevel="0" collapsed="false">
      <c r="A90" s="13" t="n">
        <v>7</v>
      </c>
      <c r="B90" s="14" t="n">
        <v>46314</v>
      </c>
      <c r="C90" s="13" t="s">
        <v>74</v>
      </c>
      <c r="D90" s="13" t="s">
        <v>77</v>
      </c>
      <c r="E90" s="13" t="n">
        <v>9</v>
      </c>
      <c r="F90" s="15" t="str">
        <f aca="false">Jugadores!$B$6</f>
        <v>Jugador 2</v>
      </c>
      <c r="G90" s="16"/>
      <c r="H90" s="16"/>
      <c r="I90" s="16"/>
      <c r="J90" s="17" t="str">
        <f aca="false">IF(COUNT(G90:I90)=0,"",G90*55+H90*50+I90*50)</f>
        <v/>
      </c>
      <c r="K90" s="16"/>
      <c r="L90" s="16"/>
      <c r="M90" s="16"/>
      <c r="N90" s="17" t="str">
        <f aca="false">IF(COUNT(K90:M90)=0,"",MAX(K90:M90))</f>
        <v/>
      </c>
      <c r="O90" s="18" t="str">
        <f aca="false">IF(N90="","",IF(N90&gt;=7,"Sin pliometría ni velocidad. Solo isométricos, movilidad y tren superior. Valoración médica",IF(N90&gt;=4,"Sin pliometría el lunes. Sentadilla española 5x45 s","Sesión normal")))</f>
        <v/>
      </c>
      <c r="P90" s="16"/>
      <c r="Q90" s="16"/>
    </row>
    <row r="91" customFormat="false" ht="15" hidden="false" customHeight="false" outlineLevel="0" collapsed="false">
      <c r="A91" s="13" t="n">
        <v>7</v>
      </c>
      <c r="B91" s="14" t="n">
        <v>46314</v>
      </c>
      <c r="C91" s="13" t="s">
        <v>74</v>
      </c>
      <c r="D91" s="13" t="s">
        <v>77</v>
      </c>
      <c r="E91" s="13" t="n">
        <v>9</v>
      </c>
      <c r="F91" s="15" t="str">
        <f aca="false">Jugadores!$B$7</f>
        <v>Jugador 3</v>
      </c>
      <c r="G91" s="16"/>
      <c r="H91" s="16"/>
      <c r="I91" s="16"/>
      <c r="J91" s="17" t="str">
        <f aca="false">IF(COUNT(G91:I91)=0,"",G91*55+H91*50+I91*50)</f>
        <v/>
      </c>
      <c r="K91" s="16"/>
      <c r="L91" s="16"/>
      <c r="M91" s="16"/>
      <c r="N91" s="17" t="str">
        <f aca="false">IF(COUNT(K91:M91)=0,"",MAX(K91:M91))</f>
        <v/>
      </c>
      <c r="O91" s="18" t="str">
        <f aca="false">IF(N91="","",IF(N91&gt;=7,"Sin pliometría ni velocidad. Solo isométricos, movilidad y tren superior. Valoración médica",IF(N91&gt;=4,"Sin pliometría el lunes. Sentadilla española 5x45 s","Sesión normal")))</f>
        <v/>
      </c>
      <c r="P91" s="16"/>
      <c r="Q91" s="16"/>
    </row>
    <row r="92" customFormat="false" ht="15" hidden="false" customHeight="false" outlineLevel="0" collapsed="false">
      <c r="A92" s="13" t="n">
        <v>7</v>
      </c>
      <c r="B92" s="14" t="n">
        <v>46314</v>
      </c>
      <c r="C92" s="13" t="s">
        <v>74</v>
      </c>
      <c r="D92" s="13" t="s">
        <v>77</v>
      </c>
      <c r="E92" s="13" t="n">
        <v>9</v>
      </c>
      <c r="F92" s="15" t="str">
        <f aca="false">Jugadores!$B$8</f>
        <v>Jugador 4</v>
      </c>
      <c r="G92" s="16"/>
      <c r="H92" s="16"/>
      <c r="I92" s="16"/>
      <c r="J92" s="17" t="str">
        <f aca="false">IF(COUNT(G92:I92)=0,"",G92*55+H92*50+I92*50)</f>
        <v/>
      </c>
      <c r="K92" s="16"/>
      <c r="L92" s="16"/>
      <c r="M92" s="16"/>
      <c r="N92" s="17" t="str">
        <f aca="false">IF(COUNT(K92:M92)=0,"",MAX(K92:M92))</f>
        <v/>
      </c>
      <c r="O92" s="18" t="str">
        <f aca="false">IF(N92="","",IF(N92&gt;=7,"Sin pliometría ni velocidad. Solo isométricos, movilidad y tren superior. Valoración médica",IF(N92&gt;=4,"Sin pliometría el lunes. Sentadilla española 5x45 s","Sesión normal")))</f>
        <v/>
      </c>
      <c r="P92" s="16"/>
      <c r="Q92" s="16"/>
    </row>
    <row r="93" customFormat="false" ht="15" hidden="false" customHeight="false" outlineLevel="0" collapsed="false">
      <c r="A93" s="13" t="n">
        <v>7</v>
      </c>
      <c r="B93" s="14" t="n">
        <v>46314</v>
      </c>
      <c r="C93" s="13" t="s">
        <v>74</v>
      </c>
      <c r="D93" s="13" t="s">
        <v>77</v>
      </c>
      <c r="E93" s="13" t="n">
        <v>9</v>
      </c>
      <c r="F93" s="15" t="str">
        <f aca="false">Jugadores!$B$9</f>
        <v>Jugador 5</v>
      </c>
      <c r="G93" s="16"/>
      <c r="H93" s="16"/>
      <c r="I93" s="16"/>
      <c r="J93" s="17" t="str">
        <f aca="false">IF(COUNT(G93:I93)=0,"",G93*55+H93*50+I93*50)</f>
        <v/>
      </c>
      <c r="K93" s="16"/>
      <c r="L93" s="16"/>
      <c r="M93" s="16"/>
      <c r="N93" s="17" t="str">
        <f aca="false">IF(COUNT(K93:M93)=0,"",MAX(K93:M93))</f>
        <v/>
      </c>
      <c r="O93" s="18" t="str">
        <f aca="false">IF(N93="","",IF(N93&gt;=7,"Sin pliometría ni velocidad. Solo isométricos, movilidad y tren superior. Valoración médica",IF(N93&gt;=4,"Sin pliometría el lunes. Sentadilla española 5x45 s","Sesión normal")))</f>
        <v/>
      </c>
      <c r="P93" s="16"/>
      <c r="Q93" s="16"/>
    </row>
    <row r="94" customFormat="false" ht="15" hidden="false" customHeight="false" outlineLevel="0" collapsed="false">
      <c r="A94" s="13" t="n">
        <v>7</v>
      </c>
      <c r="B94" s="14" t="n">
        <v>46314</v>
      </c>
      <c r="C94" s="13" t="s">
        <v>74</v>
      </c>
      <c r="D94" s="13" t="s">
        <v>77</v>
      </c>
      <c r="E94" s="13" t="n">
        <v>9</v>
      </c>
      <c r="F94" s="15" t="str">
        <f aca="false">Jugadores!$B$10</f>
        <v>Jugador 6</v>
      </c>
      <c r="G94" s="16"/>
      <c r="H94" s="16"/>
      <c r="I94" s="16"/>
      <c r="J94" s="17" t="str">
        <f aca="false">IF(COUNT(G94:I94)=0,"",G94*55+H94*50+I94*50)</f>
        <v/>
      </c>
      <c r="K94" s="16"/>
      <c r="L94" s="16"/>
      <c r="M94" s="16"/>
      <c r="N94" s="17" t="str">
        <f aca="false">IF(COUNT(K94:M94)=0,"",MAX(K94:M94))</f>
        <v/>
      </c>
      <c r="O94" s="18" t="str">
        <f aca="false">IF(N94="","",IF(N94&gt;=7,"Sin pliometría ni velocidad. Solo isométricos, movilidad y tren superior. Valoración médica",IF(N94&gt;=4,"Sin pliometría el lunes. Sentadilla española 5x45 s","Sesión normal")))</f>
        <v/>
      </c>
      <c r="P94" s="16"/>
      <c r="Q94" s="16"/>
    </row>
    <row r="95" customFormat="false" ht="15" hidden="false" customHeight="false" outlineLevel="0" collapsed="false">
      <c r="A95" s="13" t="n">
        <v>7</v>
      </c>
      <c r="B95" s="14" t="n">
        <v>46314</v>
      </c>
      <c r="C95" s="13" t="s">
        <v>74</v>
      </c>
      <c r="D95" s="13" t="s">
        <v>77</v>
      </c>
      <c r="E95" s="13" t="n">
        <v>9</v>
      </c>
      <c r="F95" s="15" t="str">
        <f aca="false">Jugadores!$B$11</f>
        <v>Jugador 7</v>
      </c>
      <c r="G95" s="16"/>
      <c r="H95" s="16"/>
      <c r="I95" s="16"/>
      <c r="J95" s="17" t="str">
        <f aca="false">IF(COUNT(G95:I95)=0,"",G95*55+H95*50+I95*50)</f>
        <v/>
      </c>
      <c r="K95" s="16"/>
      <c r="L95" s="16"/>
      <c r="M95" s="16"/>
      <c r="N95" s="17" t="str">
        <f aca="false">IF(COUNT(K95:M95)=0,"",MAX(K95:M95))</f>
        <v/>
      </c>
      <c r="O95" s="18" t="str">
        <f aca="false">IF(N95="","",IF(N95&gt;=7,"Sin pliometría ni velocidad. Solo isométricos, movilidad y tren superior. Valoración médica",IF(N95&gt;=4,"Sin pliometría el lunes. Sentadilla española 5x45 s","Sesión normal")))</f>
        <v/>
      </c>
      <c r="P95" s="16"/>
      <c r="Q95" s="16"/>
    </row>
    <row r="96" customFormat="false" ht="15" hidden="false" customHeight="false" outlineLevel="0" collapsed="false">
      <c r="A96" s="13" t="n">
        <v>7</v>
      </c>
      <c r="B96" s="14" t="n">
        <v>46314</v>
      </c>
      <c r="C96" s="13" t="s">
        <v>74</v>
      </c>
      <c r="D96" s="13" t="s">
        <v>77</v>
      </c>
      <c r="E96" s="13" t="n">
        <v>9</v>
      </c>
      <c r="F96" s="15" t="str">
        <f aca="false">Jugadores!$B$12</f>
        <v>Jugador 8</v>
      </c>
      <c r="G96" s="16"/>
      <c r="H96" s="16"/>
      <c r="I96" s="16"/>
      <c r="J96" s="17" t="str">
        <f aca="false">IF(COUNT(G96:I96)=0,"",G96*55+H96*50+I96*50)</f>
        <v/>
      </c>
      <c r="K96" s="16"/>
      <c r="L96" s="16"/>
      <c r="M96" s="16"/>
      <c r="N96" s="17" t="str">
        <f aca="false">IF(COUNT(K96:M96)=0,"",MAX(K96:M96))</f>
        <v/>
      </c>
      <c r="O96" s="18" t="str">
        <f aca="false">IF(N96="","",IF(N96&gt;=7,"Sin pliometría ni velocidad. Solo isométricos, movilidad y tren superior. Valoración médica",IF(N96&gt;=4,"Sin pliometría el lunes. Sentadilla española 5x45 s","Sesión normal")))</f>
        <v/>
      </c>
      <c r="P96" s="16"/>
      <c r="Q96" s="16"/>
    </row>
    <row r="97" customFormat="false" ht="15" hidden="false" customHeight="false" outlineLevel="0" collapsed="false">
      <c r="A97" s="13" t="n">
        <v>7</v>
      </c>
      <c r="B97" s="14" t="n">
        <v>46314</v>
      </c>
      <c r="C97" s="13" t="s">
        <v>74</v>
      </c>
      <c r="D97" s="13" t="s">
        <v>77</v>
      </c>
      <c r="E97" s="13" t="n">
        <v>9</v>
      </c>
      <c r="F97" s="15" t="str">
        <f aca="false">Jugadores!$B$13</f>
        <v>Jugador 9</v>
      </c>
      <c r="G97" s="16"/>
      <c r="H97" s="16"/>
      <c r="I97" s="16"/>
      <c r="J97" s="17" t="str">
        <f aca="false">IF(COUNT(G97:I97)=0,"",G97*55+H97*50+I97*50)</f>
        <v/>
      </c>
      <c r="K97" s="16"/>
      <c r="L97" s="16"/>
      <c r="M97" s="16"/>
      <c r="N97" s="17" t="str">
        <f aca="false">IF(COUNT(K97:M97)=0,"",MAX(K97:M97))</f>
        <v/>
      </c>
      <c r="O97" s="18" t="str">
        <f aca="false">IF(N97="","",IF(N97&gt;=7,"Sin pliometría ni velocidad. Solo isométricos, movilidad y tren superior. Valoración médica",IF(N97&gt;=4,"Sin pliometría el lunes. Sentadilla española 5x45 s","Sesión normal")))</f>
        <v/>
      </c>
      <c r="P97" s="16"/>
      <c r="Q97" s="16"/>
    </row>
    <row r="98" customFormat="false" ht="15" hidden="false" customHeight="false" outlineLevel="0" collapsed="false">
      <c r="A98" s="13" t="n">
        <v>7</v>
      </c>
      <c r="B98" s="14" t="n">
        <v>46314</v>
      </c>
      <c r="C98" s="13" t="s">
        <v>74</v>
      </c>
      <c r="D98" s="13" t="s">
        <v>77</v>
      </c>
      <c r="E98" s="13" t="n">
        <v>9</v>
      </c>
      <c r="F98" s="15" t="str">
        <f aca="false">Jugadores!$B$14</f>
        <v>Jugador 10</v>
      </c>
      <c r="G98" s="16"/>
      <c r="H98" s="16"/>
      <c r="I98" s="16"/>
      <c r="J98" s="17" t="str">
        <f aca="false">IF(COUNT(G98:I98)=0,"",G98*55+H98*50+I98*50)</f>
        <v/>
      </c>
      <c r="K98" s="16"/>
      <c r="L98" s="16"/>
      <c r="M98" s="16"/>
      <c r="N98" s="17" t="str">
        <f aca="false">IF(COUNT(K98:M98)=0,"",MAX(K98:M98))</f>
        <v/>
      </c>
      <c r="O98" s="18" t="str">
        <f aca="false">IF(N98="","",IF(N98&gt;=7,"Sin pliometría ni velocidad. Solo isométricos, movilidad y tren superior. Valoración médica",IF(N98&gt;=4,"Sin pliometría el lunes. Sentadilla española 5x45 s","Sesión normal")))</f>
        <v/>
      </c>
      <c r="P98" s="16"/>
      <c r="Q98" s="16"/>
    </row>
    <row r="99" customFormat="false" ht="15" hidden="false" customHeight="false" outlineLevel="0" collapsed="false">
      <c r="A99" s="13" t="n">
        <v>7</v>
      </c>
      <c r="B99" s="14" t="n">
        <v>46314</v>
      </c>
      <c r="C99" s="13" t="s">
        <v>74</v>
      </c>
      <c r="D99" s="13" t="s">
        <v>77</v>
      </c>
      <c r="E99" s="13" t="n">
        <v>9</v>
      </c>
      <c r="F99" s="15" t="str">
        <f aca="false">Jugadores!$B$15</f>
        <v>Jugador 11</v>
      </c>
      <c r="G99" s="16"/>
      <c r="H99" s="16"/>
      <c r="I99" s="16"/>
      <c r="J99" s="17" t="str">
        <f aca="false">IF(COUNT(G99:I99)=0,"",G99*55+H99*50+I99*50)</f>
        <v/>
      </c>
      <c r="K99" s="16"/>
      <c r="L99" s="16"/>
      <c r="M99" s="16"/>
      <c r="N99" s="17" t="str">
        <f aca="false">IF(COUNT(K99:M99)=0,"",MAX(K99:M99))</f>
        <v/>
      </c>
      <c r="O99" s="18" t="str">
        <f aca="false">IF(N99="","",IF(N99&gt;=7,"Sin pliometría ni velocidad. Solo isométricos, movilidad y tren superior. Valoración médica",IF(N99&gt;=4,"Sin pliometría el lunes. Sentadilla española 5x45 s","Sesión normal")))</f>
        <v/>
      </c>
      <c r="P99" s="16"/>
      <c r="Q99" s="16"/>
    </row>
    <row r="100" customFormat="false" ht="15" hidden="false" customHeight="false" outlineLevel="0" collapsed="false">
      <c r="A100" s="13" t="n">
        <v>7</v>
      </c>
      <c r="B100" s="14" t="n">
        <v>46314</v>
      </c>
      <c r="C100" s="13" t="s">
        <v>74</v>
      </c>
      <c r="D100" s="13" t="s">
        <v>77</v>
      </c>
      <c r="E100" s="13" t="n">
        <v>9</v>
      </c>
      <c r="F100" s="15" t="str">
        <f aca="false">Jugadores!$B$16</f>
        <v>Jugador 12</v>
      </c>
      <c r="G100" s="16"/>
      <c r="H100" s="16"/>
      <c r="I100" s="16"/>
      <c r="J100" s="17" t="str">
        <f aca="false">IF(COUNT(G100:I100)=0,"",G100*55+H100*50+I100*50)</f>
        <v/>
      </c>
      <c r="K100" s="16"/>
      <c r="L100" s="16"/>
      <c r="M100" s="16"/>
      <c r="N100" s="17" t="str">
        <f aca="false">IF(COUNT(K100:M100)=0,"",MAX(K100:M100))</f>
        <v/>
      </c>
      <c r="O100" s="18" t="str">
        <f aca="false">IF(N100="","",IF(N100&gt;=7,"Sin pliometría ni velocidad. Solo isométricos, movilidad y tren superior. Valoración médica",IF(N100&gt;=4,"Sin pliometría el lunes. Sentadilla española 5x45 s","Sesión normal")))</f>
        <v/>
      </c>
      <c r="P100" s="16"/>
      <c r="Q100" s="16"/>
    </row>
    <row r="101" customFormat="false" ht="15" hidden="false" customHeight="false" outlineLevel="0" collapsed="false">
      <c r="A101" s="13" t="n">
        <v>7</v>
      </c>
      <c r="B101" s="14" t="n">
        <v>46314</v>
      </c>
      <c r="C101" s="13" t="s">
        <v>74</v>
      </c>
      <c r="D101" s="13" t="s">
        <v>77</v>
      </c>
      <c r="E101" s="13" t="n">
        <v>9</v>
      </c>
      <c r="F101" s="15" t="str">
        <f aca="false">Jugadores!$B$17</f>
        <v>Jugador 13</v>
      </c>
      <c r="G101" s="16"/>
      <c r="H101" s="16"/>
      <c r="I101" s="16"/>
      <c r="J101" s="17" t="str">
        <f aca="false">IF(COUNT(G101:I101)=0,"",G101*55+H101*50+I101*50)</f>
        <v/>
      </c>
      <c r="K101" s="16"/>
      <c r="L101" s="16"/>
      <c r="M101" s="16"/>
      <c r="N101" s="17" t="str">
        <f aca="false">IF(COUNT(K101:M101)=0,"",MAX(K101:M101))</f>
        <v/>
      </c>
      <c r="O101" s="18" t="str">
        <f aca="false">IF(N101="","",IF(N101&gt;=7,"Sin pliometría ni velocidad. Solo isométricos, movilidad y tren superior. Valoración médica",IF(N101&gt;=4,"Sin pliometría el lunes. Sentadilla española 5x45 s","Sesión normal")))</f>
        <v/>
      </c>
      <c r="P101" s="16"/>
      <c r="Q101" s="16"/>
    </row>
    <row r="102" customFormat="false" ht="15" hidden="false" customHeight="false" outlineLevel="0" collapsed="false">
      <c r="A102" s="13" t="n">
        <v>7</v>
      </c>
      <c r="B102" s="14" t="n">
        <v>46314</v>
      </c>
      <c r="C102" s="13" t="s">
        <v>74</v>
      </c>
      <c r="D102" s="13" t="s">
        <v>77</v>
      </c>
      <c r="E102" s="13" t="n">
        <v>9</v>
      </c>
      <c r="F102" s="15" t="str">
        <f aca="false">Jugadores!$B$18</f>
        <v>Jugador 14</v>
      </c>
      <c r="G102" s="16"/>
      <c r="H102" s="16"/>
      <c r="I102" s="16"/>
      <c r="J102" s="17" t="str">
        <f aca="false">IF(COUNT(G102:I102)=0,"",G102*55+H102*50+I102*50)</f>
        <v/>
      </c>
      <c r="K102" s="16"/>
      <c r="L102" s="16"/>
      <c r="M102" s="16"/>
      <c r="N102" s="17" t="str">
        <f aca="false">IF(COUNT(K102:M102)=0,"",MAX(K102:M102))</f>
        <v/>
      </c>
      <c r="O102" s="18" t="str">
        <f aca="false">IF(N102="","",IF(N102&gt;=7,"Sin pliometría ni velocidad. Solo isométricos, movilidad y tren superior. Valoración médica",IF(N102&gt;=4,"Sin pliometría el lunes. Sentadilla española 5x45 s","Sesión normal")))</f>
        <v/>
      </c>
      <c r="P102" s="16"/>
      <c r="Q102" s="16"/>
    </row>
    <row r="103" customFormat="false" ht="15" hidden="false" customHeight="false" outlineLevel="0" collapsed="false">
      <c r="A103" s="13" t="n">
        <v>8</v>
      </c>
      <c r="B103" s="14" t="n">
        <v>46321</v>
      </c>
      <c r="C103" s="13" t="s">
        <v>74</v>
      </c>
      <c r="D103" s="13" t="s">
        <v>75</v>
      </c>
      <c r="E103" s="13" t="n">
        <v>10</v>
      </c>
      <c r="F103" s="15" t="str">
        <f aca="false">Jugadores!$B$5</f>
        <v>Jugador 1</v>
      </c>
      <c r="G103" s="16"/>
      <c r="H103" s="16"/>
      <c r="I103" s="16"/>
      <c r="J103" s="17" t="str">
        <f aca="false">IF(COUNT(G103:I103)=0,"",G103*55+H103*50+I103*50)</f>
        <v/>
      </c>
      <c r="K103" s="16"/>
      <c r="L103" s="16"/>
      <c r="M103" s="16"/>
      <c r="N103" s="17" t="str">
        <f aca="false">IF(COUNT(K103:M103)=0,"",MAX(K103:M103))</f>
        <v/>
      </c>
      <c r="O103" s="18" t="str">
        <f aca="false">IF(N103="","",IF(N103&gt;=7,"Sin pliometría ni velocidad. Solo isométricos, movilidad y tren superior. Valoración médica",IF(N103&gt;=4,"Sin pliometría el lunes. Sentadilla española 5x45 s","Sesión normal")))</f>
        <v/>
      </c>
      <c r="P103" s="16"/>
      <c r="Q103" s="16"/>
    </row>
    <row r="104" customFormat="false" ht="15" hidden="false" customHeight="false" outlineLevel="0" collapsed="false">
      <c r="A104" s="13" t="n">
        <v>8</v>
      </c>
      <c r="B104" s="14" t="n">
        <v>46321</v>
      </c>
      <c r="C104" s="13" t="s">
        <v>74</v>
      </c>
      <c r="D104" s="13" t="s">
        <v>75</v>
      </c>
      <c r="E104" s="13" t="n">
        <v>10</v>
      </c>
      <c r="F104" s="15" t="str">
        <f aca="false">Jugadores!$B$6</f>
        <v>Jugador 2</v>
      </c>
      <c r="G104" s="16"/>
      <c r="H104" s="16"/>
      <c r="I104" s="16"/>
      <c r="J104" s="17" t="str">
        <f aca="false">IF(COUNT(G104:I104)=0,"",G104*55+H104*50+I104*50)</f>
        <v/>
      </c>
      <c r="K104" s="16"/>
      <c r="L104" s="16"/>
      <c r="M104" s="16"/>
      <c r="N104" s="17" t="str">
        <f aca="false">IF(COUNT(K104:M104)=0,"",MAX(K104:M104))</f>
        <v/>
      </c>
      <c r="O104" s="18" t="str">
        <f aca="false">IF(N104="","",IF(N104&gt;=7,"Sin pliometría ni velocidad. Solo isométricos, movilidad y tren superior. Valoración médica",IF(N104&gt;=4,"Sin pliometría el lunes. Sentadilla española 5x45 s","Sesión normal")))</f>
        <v/>
      </c>
      <c r="P104" s="16"/>
      <c r="Q104" s="16"/>
    </row>
    <row r="105" customFormat="false" ht="15" hidden="false" customHeight="false" outlineLevel="0" collapsed="false">
      <c r="A105" s="13" t="n">
        <v>8</v>
      </c>
      <c r="B105" s="14" t="n">
        <v>46321</v>
      </c>
      <c r="C105" s="13" t="s">
        <v>74</v>
      </c>
      <c r="D105" s="13" t="s">
        <v>75</v>
      </c>
      <c r="E105" s="13" t="n">
        <v>10</v>
      </c>
      <c r="F105" s="15" t="str">
        <f aca="false">Jugadores!$B$7</f>
        <v>Jugador 3</v>
      </c>
      <c r="G105" s="16"/>
      <c r="H105" s="16"/>
      <c r="I105" s="16"/>
      <c r="J105" s="17" t="str">
        <f aca="false">IF(COUNT(G105:I105)=0,"",G105*55+H105*50+I105*50)</f>
        <v/>
      </c>
      <c r="K105" s="16"/>
      <c r="L105" s="16"/>
      <c r="M105" s="16"/>
      <c r="N105" s="17" t="str">
        <f aca="false">IF(COUNT(K105:M105)=0,"",MAX(K105:M105))</f>
        <v/>
      </c>
      <c r="O105" s="18" t="str">
        <f aca="false">IF(N105="","",IF(N105&gt;=7,"Sin pliometría ni velocidad. Solo isométricos, movilidad y tren superior. Valoración médica",IF(N105&gt;=4,"Sin pliometría el lunes. Sentadilla española 5x45 s","Sesión normal")))</f>
        <v/>
      </c>
      <c r="P105" s="16"/>
      <c r="Q105" s="16"/>
    </row>
    <row r="106" customFormat="false" ht="15" hidden="false" customHeight="false" outlineLevel="0" collapsed="false">
      <c r="A106" s="13" t="n">
        <v>8</v>
      </c>
      <c r="B106" s="14" t="n">
        <v>46321</v>
      </c>
      <c r="C106" s="13" t="s">
        <v>74</v>
      </c>
      <c r="D106" s="13" t="s">
        <v>75</v>
      </c>
      <c r="E106" s="13" t="n">
        <v>10</v>
      </c>
      <c r="F106" s="15" t="str">
        <f aca="false">Jugadores!$B$8</f>
        <v>Jugador 4</v>
      </c>
      <c r="G106" s="16"/>
      <c r="H106" s="16"/>
      <c r="I106" s="16"/>
      <c r="J106" s="17" t="str">
        <f aca="false">IF(COUNT(G106:I106)=0,"",G106*55+H106*50+I106*50)</f>
        <v/>
      </c>
      <c r="K106" s="16"/>
      <c r="L106" s="16"/>
      <c r="M106" s="16"/>
      <c r="N106" s="17" t="str">
        <f aca="false">IF(COUNT(K106:M106)=0,"",MAX(K106:M106))</f>
        <v/>
      </c>
      <c r="O106" s="18" t="str">
        <f aca="false">IF(N106="","",IF(N106&gt;=7,"Sin pliometría ni velocidad. Solo isométricos, movilidad y tren superior. Valoración médica",IF(N106&gt;=4,"Sin pliometría el lunes. Sentadilla española 5x45 s","Sesión normal")))</f>
        <v/>
      </c>
      <c r="P106" s="16"/>
      <c r="Q106" s="16"/>
    </row>
    <row r="107" customFormat="false" ht="15" hidden="false" customHeight="false" outlineLevel="0" collapsed="false">
      <c r="A107" s="13" t="n">
        <v>8</v>
      </c>
      <c r="B107" s="14" t="n">
        <v>46321</v>
      </c>
      <c r="C107" s="13" t="s">
        <v>74</v>
      </c>
      <c r="D107" s="13" t="s">
        <v>75</v>
      </c>
      <c r="E107" s="13" t="n">
        <v>10</v>
      </c>
      <c r="F107" s="15" t="str">
        <f aca="false">Jugadores!$B$9</f>
        <v>Jugador 5</v>
      </c>
      <c r="G107" s="16"/>
      <c r="H107" s="16"/>
      <c r="I107" s="16"/>
      <c r="J107" s="17" t="str">
        <f aca="false">IF(COUNT(G107:I107)=0,"",G107*55+H107*50+I107*50)</f>
        <v/>
      </c>
      <c r="K107" s="16"/>
      <c r="L107" s="16"/>
      <c r="M107" s="16"/>
      <c r="N107" s="17" t="str">
        <f aca="false">IF(COUNT(K107:M107)=0,"",MAX(K107:M107))</f>
        <v/>
      </c>
      <c r="O107" s="18" t="str">
        <f aca="false">IF(N107="","",IF(N107&gt;=7,"Sin pliometría ni velocidad. Solo isométricos, movilidad y tren superior. Valoración médica",IF(N107&gt;=4,"Sin pliometría el lunes. Sentadilla española 5x45 s","Sesión normal")))</f>
        <v/>
      </c>
      <c r="P107" s="16"/>
      <c r="Q107" s="16"/>
    </row>
    <row r="108" customFormat="false" ht="15" hidden="false" customHeight="false" outlineLevel="0" collapsed="false">
      <c r="A108" s="13" t="n">
        <v>8</v>
      </c>
      <c r="B108" s="14" t="n">
        <v>46321</v>
      </c>
      <c r="C108" s="13" t="s">
        <v>74</v>
      </c>
      <c r="D108" s="13" t="s">
        <v>75</v>
      </c>
      <c r="E108" s="13" t="n">
        <v>10</v>
      </c>
      <c r="F108" s="15" t="str">
        <f aca="false">Jugadores!$B$10</f>
        <v>Jugador 6</v>
      </c>
      <c r="G108" s="16"/>
      <c r="H108" s="16"/>
      <c r="I108" s="16"/>
      <c r="J108" s="17" t="str">
        <f aca="false">IF(COUNT(G108:I108)=0,"",G108*55+H108*50+I108*50)</f>
        <v/>
      </c>
      <c r="K108" s="16"/>
      <c r="L108" s="16"/>
      <c r="M108" s="16"/>
      <c r="N108" s="17" t="str">
        <f aca="false">IF(COUNT(K108:M108)=0,"",MAX(K108:M108))</f>
        <v/>
      </c>
      <c r="O108" s="18" t="str">
        <f aca="false">IF(N108="","",IF(N108&gt;=7,"Sin pliometría ni velocidad. Solo isométricos, movilidad y tren superior. Valoración médica",IF(N108&gt;=4,"Sin pliometría el lunes. Sentadilla española 5x45 s","Sesión normal")))</f>
        <v/>
      </c>
      <c r="P108" s="16"/>
      <c r="Q108" s="16"/>
    </row>
    <row r="109" customFormat="false" ht="15" hidden="false" customHeight="false" outlineLevel="0" collapsed="false">
      <c r="A109" s="13" t="n">
        <v>8</v>
      </c>
      <c r="B109" s="14" t="n">
        <v>46321</v>
      </c>
      <c r="C109" s="13" t="s">
        <v>74</v>
      </c>
      <c r="D109" s="13" t="s">
        <v>75</v>
      </c>
      <c r="E109" s="13" t="n">
        <v>10</v>
      </c>
      <c r="F109" s="15" t="str">
        <f aca="false">Jugadores!$B$11</f>
        <v>Jugador 7</v>
      </c>
      <c r="G109" s="16"/>
      <c r="H109" s="16"/>
      <c r="I109" s="16"/>
      <c r="J109" s="17" t="str">
        <f aca="false">IF(COUNT(G109:I109)=0,"",G109*55+H109*50+I109*50)</f>
        <v/>
      </c>
      <c r="K109" s="16"/>
      <c r="L109" s="16"/>
      <c r="M109" s="16"/>
      <c r="N109" s="17" t="str">
        <f aca="false">IF(COUNT(K109:M109)=0,"",MAX(K109:M109))</f>
        <v/>
      </c>
      <c r="O109" s="18" t="str">
        <f aca="false">IF(N109="","",IF(N109&gt;=7,"Sin pliometría ni velocidad. Solo isométricos, movilidad y tren superior. Valoración médica",IF(N109&gt;=4,"Sin pliometría el lunes. Sentadilla española 5x45 s","Sesión normal")))</f>
        <v/>
      </c>
      <c r="P109" s="16"/>
      <c r="Q109" s="16"/>
    </row>
    <row r="110" customFormat="false" ht="15" hidden="false" customHeight="false" outlineLevel="0" collapsed="false">
      <c r="A110" s="13" t="n">
        <v>8</v>
      </c>
      <c r="B110" s="14" t="n">
        <v>46321</v>
      </c>
      <c r="C110" s="13" t="s">
        <v>74</v>
      </c>
      <c r="D110" s="13" t="s">
        <v>75</v>
      </c>
      <c r="E110" s="13" t="n">
        <v>10</v>
      </c>
      <c r="F110" s="15" t="str">
        <f aca="false">Jugadores!$B$12</f>
        <v>Jugador 8</v>
      </c>
      <c r="G110" s="16"/>
      <c r="H110" s="16"/>
      <c r="I110" s="16"/>
      <c r="J110" s="17" t="str">
        <f aca="false">IF(COUNT(G110:I110)=0,"",G110*55+H110*50+I110*50)</f>
        <v/>
      </c>
      <c r="K110" s="16"/>
      <c r="L110" s="16"/>
      <c r="M110" s="16"/>
      <c r="N110" s="17" t="str">
        <f aca="false">IF(COUNT(K110:M110)=0,"",MAX(K110:M110))</f>
        <v/>
      </c>
      <c r="O110" s="18" t="str">
        <f aca="false">IF(N110="","",IF(N110&gt;=7,"Sin pliometría ni velocidad. Solo isométricos, movilidad y tren superior. Valoración médica",IF(N110&gt;=4,"Sin pliometría el lunes. Sentadilla española 5x45 s","Sesión normal")))</f>
        <v/>
      </c>
      <c r="P110" s="16"/>
      <c r="Q110" s="16"/>
    </row>
    <row r="111" customFormat="false" ht="15" hidden="false" customHeight="false" outlineLevel="0" collapsed="false">
      <c r="A111" s="13" t="n">
        <v>8</v>
      </c>
      <c r="B111" s="14" t="n">
        <v>46321</v>
      </c>
      <c r="C111" s="13" t="s">
        <v>74</v>
      </c>
      <c r="D111" s="13" t="s">
        <v>75</v>
      </c>
      <c r="E111" s="13" t="n">
        <v>10</v>
      </c>
      <c r="F111" s="15" t="str">
        <f aca="false">Jugadores!$B$13</f>
        <v>Jugador 9</v>
      </c>
      <c r="G111" s="16"/>
      <c r="H111" s="16"/>
      <c r="I111" s="16"/>
      <c r="J111" s="17" t="str">
        <f aca="false">IF(COUNT(G111:I111)=0,"",G111*55+H111*50+I111*50)</f>
        <v/>
      </c>
      <c r="K111" s="16"/>
      <c r="L111" s="16"/>
      <c r="M111" s="16"/>
      <c r="N111" s="17" t="str">
        <f aca="false">IF(COUNT(K111:M111)=0,"",MAX(K111:M111))</f>
        <v/>
      </c>
      <c r="O111" s="18" t="str">
        <f aca="false">IF(N111="","",IF(N111&gt;=7,"Sin pliometría ni velocidad. Solo isométricos, movilidad y tren superior. Valoración médica",IF(N111&gt;=4,"Sin pliometría el lunes. Sentadilla española 5x45 s","Sesión normal")))</f>
        <v/>
      </c>
      <c r="P111" s="16"/>
      <c r="Q111" s="16"/>
    </row>
    <row r="112" customFormat="false" ht="15" hidden="false" customHeight="false" outlineLevel="0" collapsed="false">
      <c r="A112" s="13" t="n">
        <v>8</v>
      </c>
      <c r="B112" s="14" t="n">
        <v>46321</v>
      </c>
      <c r="C112" s="13" t="s">
        <v>74</v>
      </c>
      <c r="D112" s="13" t="s">
        <v>75</v>
      </c>
      <c r="E112" s="13" t="n">
        <v>10</v>
      </c>
      <c r="F112" s="15" t="str">
        <f aca="false">Jugadores!$B$14</f>
        <v>Jugador 10</v>
      </c>
      <c r="G112" s="16"/>
      <c r="H112" s="16"/>
      <c r="I112" s="16"/>
      <c r="J112" s="17" t="str">
        <f aca="false">IF(COUNT(G112:I112)=0,"",G112*55+H112*50+I112*50)</f>
        <v/>
      </c>
      <c r="K112" s="16"/>
      <c r="L112" s="16"/>
      <c r="M112" s="16"/>
      <c r="N112" s="17" t="str">
        <f aca="false">IF(COUNT(K112:M112)=0,"",MAX(K112:M112))</f>
        <v/>
      </c>
      <c r="O112" s="18" t="str">
        <f aca="false">IF(N112="","",IF(N112&gt;=7,"Sin pliometría ni velocidad. Solo isométricos, movilidad y tren superior. Valoración médica",IF(N112&gt;=4,"Sin pliometría el lunes. Sentadilla española 5x45 s","Sesión normal")))</f>
        <v/>
      </c>
      <c r="P112" s="16"/>
      <c r="Q112" s="16"/>
    </row>
    <row r="113" customFormat="false" ht="15" hidden="false" customHeight="false" outlineLevel="0" collapsed="false">
      <c r="A113" s="13" t="n">
        <v>8</v>
      </c>
      <c r="B113" s="14" t="n">
        <v>46321</v>
      </c>
      <c r="C113" s="13" t="s">
        <v>74</v>
      </c>
      <c r="D113" s="13" t="s">
        <v>75</v>
      </c>
      <c r="E113" s="13" t="n">
        <v>10</v>
      </c>
      <c r="F113" s="15" t="str">
        <f aca="false">Jugadores!$B$15</f>
        <v>Jugador 11</v>
      </c>
      <c r="G113" s="16"/>
      <c r="H113" s="16"/>
      <c r="I113" s="16"/>
      <c r="J113" s="17" t="str">
        <f aca="false">IF(COUNT(G113:I113)=0,"",G113*55+H113*50+I113*50)</f>
        <v/>
      </c>
      <c r="K113" s="16"/>
      <c r="L113" s="16"/>
      <c r="M113" s="16"/>
      <c r="N113" s="17" t="str">
        <f aca="false">IF(COUNT(K113:M113)=0,"",MAX(K113:M113))</f>
        <v/>
      </c>
      <c r="O113" s="18" t="str">
        <f aca="false">IF(N113="","",IF(N113&gt;=7,"Sin pliometría ni velocidad. Solo isométricos, movilidad y tren superior. Valoración médica",IF(N113&gt;=4,"Sin pliometría el lunes. Sentadilla española 5x45 s","Sesión normal")))</f>
        <v/>
      </c>
      <c r="P113" s="16"/>
      <c r="Q113" s="16"/>
    </row>
    <row r="114" customFormat="false" ht="15" hidden="false" customHeight="false" outlineLevel="0" collapsed="false">
      <c r="A114" s="13" t="n">
        <v>8</v>
      </c>
      <c r="B114" s="14" t="n">
        <v>46321</v>
      </c>
      <c r="C114" s="13" t="s">
        <v>74</v>
      </c>
      <c r="D114" s="13" t="s">
        <v>75</v>
      </c>
      <c r="E114" s="13" t="n">
        <v>10</v>
      </c>
      <c r="F114" s="15" t="str">
        <f aca="false">Jugadores!$B$16</f>
        <v>Jugador 12</v>
      </c>
      <c r="G114" s="16"/>
      <c r="H114" s="16"/>
      <c r="I114" s="16"/>
      <c r="J114" s="17" t="str">
        <f aca="false">IF(COUNT(G114:I114)=0,"",G114*55+H114*50+I114*50)</f>
        <v/>
      </c>
      <c r="K114" s="16"/>
      <c r="L114" s="16"/>
      <c r="M114" s="16"/>
      <c r="N114" s="17" t="str">
        <f aca="false">IF(COUNT(K114:M114)=0,"",MAX(K114:M114))</f>
        <v/>
      </c>
      <c r="O114" s="18" t="str">
        <f aca="false">IF(N114="","",IF(N114&gt;=7,"Sin pliometría ni velocidad. Solo isométricos, movilidad y tren superior. Valoración médica",IF(N114&gt;=4,"Sin pliometría el lunes. Sentadilla española 5x45 s","Sesión normal")))</f>
        <v/>
      </c>
      <c r="P114" s="16"/>
      <c r="Q114" s="16"/>
    </row>
    <row r="115" customFormat="false" ht="15" hidden="false" customHeight="false" outlineLevel="0" collapsed="false">
      <c r="A115" s="13" t="n">
        <v>8</v>
      </c>
      <c r="B115" s="14" t="n">
        <v>46321</v>
      </c>
      <c r="C115" s="13" t="s">
        <v>74</v>
      </c>
      <c r="D115" s="13" t="s">
        <v>75</v>
      </c>
      <c r="E115" s="13" t="n">
        <v>10</v>
      </c>
      <c r="F115" s="15" t="str">
        <f aca="false">Jugadores!$B$17</f>
        <v>Jugador 13</v>
      </c>
      <c r="G115" s="16"/>
      <c r="H115" s="16"/>
      <c r="I115" s="16"/>
      <c r="J115" s="17" t="str">
        <f aca="false">IF(COUNT(G115:I115)=0,"",G115*55+H115*50+I115*50)</f>
        <v/>
      </c>
      <c r="K115" s="16"/>
      <c r="L115" s="16"/>
      <c r="M115" s="16"/>
      <c r="N115" s="17" t="str">
        <f aca="false">IF(COUNT(K115:M115)=0,"",MAX(K115:M115))</f>
        <v/>
      </c>
      <c r="O115" s="18" t="str">
        <f aca="false">IF(N115="","",IF(N115&gt;=7,"Sin pliometría ni velocidad. Solo isométricos, movilidad y tren superior. Valoración médica",IF(N115&gt;=4,"Sin pliometría el lunes. Sentadilla española 5x45 s","Sesión normal")))</f>
        <v/>
      </c>
      <c r="P115" s="16"/>
      <c r="Q115" s="16"/>
    </row>
    <row r="116" customFormat="false" ht="15" hidden="false" customHeight="false" outlineLevel="0" collapsed="false">
      <c r="A116" s="13" t="n">
        <v>8</v>
      </c>
      <c r="B116" s="14" t="n">
        <v>46321</v>
      </c>
      <c r="C116" s="13" t="s">
        <v>74</v>
      </c>
      <c r="D116" s="13" t="s">
        <v>75</v>
      </c>
      <c r="E116" s="13" t="n">
        <v>10</v>
      </c>
      <c r="F116" s="15" t="str">
        <f aca="false">Jugadores!$B$18</f>
        <v>Jugador 14</v>
      </c>
      <c r="G116" s="16"/>
      <c r="H116" s="16"/>
      <c r="I116" s="16"/>
      <c r="J116" s="17" t="str">
        <f aca="false">IF(COUNT(G116:I116)=0,"",G116*55+H116*50+I116*50)</f>
        <v/>
      </c>
      <c r="K116" s="16"/>
      <c r="L116" s="16"/>
      <c r="M116" s="16"/>
      <c r="N116" s="17" t="str">
        <f aca="false">IF(COUNT(K116:M116)=0,"",MAX(K116:M116))</f>
        <v/>
      </c>
      <c r="O116" s="18" t="str">
        <f aca="false">IF(N116="","",IF(N116&gt;=7,"Sin pliometría ni velocidad. Solo isométricos, movilidad y tren superior. Valoración médica",IF(N116&gt;=4,"Sin pliometría el lunes. Sentadilla española 5x45 s","Sesión normal")))</f>
        <v/>
      </c>
      <c r="P116" s="16"/>
      <c r="Q116" s="16"/>
    </row>
    <row r="117" customFormat="false" ht="15" hidden="false" customHeight="false" outlineLevel="0" collapsed="false">
      <c r="A117" s="13" t="n">
        <v>9</v>
      </c>
      <c r="B117" s="14" t="n">
        <v>46328</v>
      </c>
      <c r="C117" s="13" t="s">
        <v>74</v>
      </c>
      <c r="D117" s="13" t="s">
        <v>78</v>
      </c>
      <c r="E117" s="13" t="n">
        <v>7</v>
      </c>
      <c r="F117" s="15" t="str">
        <f aca="false">Jugadores!$B$5</f>
        <v>Jugador 1</v>
      </c>
      <c r="G117" s="16"/>
      <c r="H117" s="16"/>
      <c r="I117" s="16"/>
      <c r="J117" s="17" t="str">
        <f aca="false">IF(COUNT(G117:I117)=0,"",G117*55+H117*50+I117*50)</f>
        <v/>
      </c>
      <c r="K117" s="16"/>
      <c r="L117" s="16"/>
      <c r="M117" s="16"/>
      <c r="N117" s="17" t="str">
        <f aca="false">IF(COUNT(K117:M117)=0,"",MAX(K117:M117))</f>
        <v/>
      </c>
      <c r="O117" s="18" t="str">
        <f aca="false">IF(N117="","",IF(N117&gt;=7,"Sin pliometría ni velocidad. Solo isométricos, movilidad y tren superior. Valoración médica",IF(N117&gt;=4,"Sin pliometría el lunes. Sentadilla española 5x45 s","Sesión normal")))</f>
        <v/>
      </c>
      <c r="P117" s="16"/>
      <c r="Q117" s="16"/>
    </row>
    <row r="118" customFormat="false" ht="15" hidden="false" customHeight="false" outlineLevel="0" collapsed="false">
      <c r="A118" s="13" t="n">
        <v>9</v>
      </c>
      <c r="B118" s="14" t="n">
        <v>46328</v>
      </c>
      <c r="C118" s="13" t="s">
        <v>74</v>
      </c>
      <c r="D118" s="13" t="s">
        <v>78</v>
      </c>
      <c r="E118" s="13" t="n">
        <v>7</v>
      </c>
      <c r="F118" s="15" t="str">
        <f aca="false">Jugadores!$B$6</f>
        <v>Jugador 2</v>
      </c>
      <c r="G118" s="16"/>
      <c r="H118" s="16"/>
      <c r="I118" s="16"/>
      <c r="J118" s="17" t="str">
        <f aca="false">IF(COUNT(G118:I118)=0,"",G118*55+H118*50+I118*50)</f>
        <v/>
      </c>
      <c r="K118" s="16"/>
      <c r="L118" s="16"/>
      <c r="M118" s="16"/>
      <c r="N118" s="17" t="str">
        <f aca="false">IF(COUNT(K118:M118)=0,"",MAX(K118:M118))</f>
        <v/>
      </c>
      <c r="O118" s="18" t="str">
        <f aca="false">IF(N118="","",IF(N118&gt;=7,"Sin pliometría ni velocidad. Solo isométricos, movilidad y tren superior. Valoración médica",IF(N118&gt;=4,"Sin pliometría el lunes. Sentadilla española 5x45 s","Sesión normal")))</f>
        <v/>
      </c>
      <c r="P118" s="16"/>
      <c r="Q118" s="16"/>
    </row>
    <row r="119" customFormat="false" ht="15" hidden="false" customHeight="false" outlineLevel="0" collapsed="false">
      <c r="A119" s="13" t="n">
        <v>9</v>
      </c>
      <c r="B119" s="14" t="n">
        <v>46328</v>
      </c>
      <c r="C119" s="13" t="s">
        <v>74</v>
      </c>
      <c r="D119" s="13" t="s">
        <v>78</v>
      </c>
      <c r="E119" s="13" t="n">
        <v>7</v>
      </c>
      <c r="F119" s="15" t="str">
        <f aca="false">Jugadores!$B$7</f>
        <v>Jugador 3</v>
      </c>
      <c r="G119" s="16"/>
      <c r="H119" s="16"/>
      <c r="I119" s="16"/>
      <c r="J119" s="17" t="str">
        <f aca="false">IF(COUNT(G119:I119)=0,"",G119*55+H119*50+I119*50)</f>
        <v/>
      </c>
      <c r="K119" s="16"/>
      <c r="L119" s="16"/>
      <c r="M119" s="16"/>
      <c r="N119" s="17" t="str">
        <f aca="false">IF(COUNT(K119:M119)=0,"",MAX(K119:M119))</f>
        <v/>
      </c>
      <c r="O119" s="18" t="str">
        <f aca="false">IF(N119="","",IF(N119&gt;=7,"Sin pliometría ni velocidad. Solo isométricos, movilidad y tren superior. Valoración médica",IF(N119&gt;=4,"Sin pliometría el lunes. Sentadilla española 5x45 s","Sesión normal")))</f>
        <v/>
      </c>
      <c r="P119" s="16"/>
      <c r="Q119" s="16"/>
    </row>
    <row r="120" customFormat="false" ht="15" hidden="false" customHeight="false" outlineLevel="0" collapsed="false">
      <c r="A120" s="13" t="n">
        <v>9</v>
      </c>
      <c r="B120" s="14" t="n">
        <v>46328</v>
      </c>
      <c r="C120" s="13" t="s">
        <v>74</v>
      </c>
      <c r="D120" s="13" t="s">
        <v>78</v>
      </c>
      <c r="E120" s="13" t="n">
        <v>7</v>
      </c>
      <c r="F120" s="15" t="str">
        <f aca="false">Jugadores!$B$8</f>
        <v>Jugador 4</v>
      </c>
      <c r="G120" s="16"/>
      <c r="H120" s="16"/>
      <c r="I120" s="16"/>
      <c r="J120" s="17" t="str">
        <f aca="false">IF(COUNT(G120:I120)=0,"",G120*55+H120*50+I120*50)</f>
        <v/>
      </c>
      <c r="K120" s="16"/>
      <c r="L120" s="16"/>
      <c r="M120" s="16"/>
      <c r="N120" s="17" t="str">
        <f aca="false">IF(COUNT(K120:M120)=0,"",MAX(K120:M120))</f>
        <v/>
      </c>
      <c r="O120" s="18" t="str">
        <f aca="false">IF(N120="","",IF(N120&gt;=7,"Sin pliometría ni velocidad. Solo isométricos, movilidad y tren superior. Valoración médica",IF(N120&gt;=4,"Sin pliometría el lunes. Sentadilla española 5x45 s","Sesión normal")))</f>
        <v/>
      </c>
      <c r="P120" s="16"/>
      <c r="Q120" s="16"/>
    </row>
    <row r="121" customFormat="false" ht="15" hidden="false" customHeight="false" outlineLevel="0" collapsed="false">
      <c r="A121" s="13" t="n">
        <v>9</v>
      </c>
      <c r="B121" s="14" t="n">
        <v>46328</v>
      </c>
      <c r="C121" s="13" t="s">
        <v>74</v>
      </c>
      <c r="D121" s="13" t="s">
        <v>78</v>
      </c>
      <c r="E121" s="13" t="n">
        <v>7</v>
      </c>
      <c r="F121" s="15" t="str">
        <f aca="false">Jugadores!$B$9</f>
        <v>Jugador 5</v>
      </c>
      <c r="G121" s="16"/>
      <c r="H121" s="16"/>
      <c r="I121" s="16"/>
      <c r="J121" s="17" t="str">
        <f aca="false">IF(COUNT(G121:I121)=0,"",G121*55+H121*50+I121*50)</f>
        <v/>
      </c>
      <c r="K121" s="16"/>
      <c r="L121" s="16"/>
      <c r="M121" s="16"/>
      <c r="N121" s="17" t="str">
        <f aca="false">IF(COUNT(K121:M121)=0,"",MAX(K121:M121))</f>
        <v/>
      </c>
      <c r="O121" s="18" t="str">
        <f aca="false">IF(N121="","",IF(N121&gt;=7,"Sin pliometría ni velocidad. Solo isométricos, movilidad y tren superior. Valoración médica",IF(N121&gt;=4,"Sin pliometría el lunes. Sentadilla española 5x45 s","Sesión normal")))</f>
        <v/>
      </c>
      <c r="P121" s="16"/>
      <c r="Q121" s="16"/>
    </row>
    <row r="122" customFormat="false" ht="15" hidden="false" customHeight="false" outlineLevel="0" collapsed="false">
      <c r="A122" s="13" t="n">
        <v>9</v>
      </c>
      <c r="B122" s="14" t="n">
        <v>46328</v>
      </c>
      <c r="C122" s="13" t="s">
        <v>74</v>
      </c>
      <c r="D122" s="13" t="s">
        <v>78</v>
      </c>
      <c r="E122" s="13" t="n">
        <v>7</v>
      </c>
      <c r="F122" s="15" t="str">
        <f aca="false">Jugadores!$B$10</f>
        <v>Jugador 6</v>
      </c>
      <c r="G122" s="16"/>
      <c r="H122" s="16"/>
      <c r="I122" s="16"/>
      <c r="J122" s="17" t="str">
        <f aca="false">IF(COUNT(G122:I122)=0,"",G122*55+H122*50+I122*50)</f>
        <v/>
      </c>
      <c r="K122" s="16"/>
      <c r="L122" s="16"/>
      <c r="M122" s="16"/>
      <c r="N122" s="17" t="str">
        <f aca="false">IF(COUNT(K122:M122)=0,"",MAX(K122:M122))</f>
        <v/>
      </c>
      <c r="O122" s="18" t="str">
        <f aca="false">IF(N122="","",IF(N122&gt;=7,"Sin pliometría ni velocidad. Solo isométricos, movilidad y tren superior. Valoración médica",IF(N122&gt;=4,"Sin pliometría el lunes. Sentadilla española 5x45 s","Sesión normal")))</f>
        <v/>
      </c>
      <c r="P122" s="16"/>
      <c r="Q122" s="16"/>
    </row>
    <row r="123" customFormat="false" ht="15" hidden="false" customHeight="false" outlineLevel="0" collapsed="false">
      <c r="A123" s="13" t="n">
        <v>9</v>
      </c>
      <c r="B123" s="14" t="n">
        <v>46328</v>
      </c>
      <c r="C123" s="13" t="s">
        <v>74</v>
      </c>
      <c r="D123" s="13" t="s">
        <v>78</v>
      </c>
      <c r="E123" s="13" t="n">
        <v>7</v>
      </c>
      <c r="F123" s="15" t="str">
        <f aca="false">Jugadores!$B$11</f>
        <v>Jugador 7</v>
      </c>
      <c r="G123" s="16"/>
      <c r="H123" s="16"/>
      <c r="I123" s="16"/>
      <c r="J123" s="17" t="str">
        <f aca="false">IF(COUNT(G123:I123)=0,"",G123*55+H123*50+I123*50)</f>
        <v/>
      </c>
      <c r="K123" s="16"/>
      <c r="L123" s="16"/>
      <c r="M123" s="16"/>
      <c r="N123" s="17" t="str">
        <f aca="false">IF(COUNT(K123:M123)=0,"",MAX(K123:M123))</f>
        <v/>
      </c>
      <c r="O123" s="18" t="str">
        <f aca="false">IF(N123="","",IF(N123&gt;=7,"Sin pliometría ni velocidad. Solo isométricos, movilidad y tren superior. Valoración médica",IF(N123&gt;=4,"Sin pliometría el lunes. Sentadilla española 5x45 s","Sesión normal")))</f>
        <v/>
      </c>
      <c r="P123" s="16"/>
      <c r="Q123" s="16"/>
    </row>
    <row r="124" customFormat="false" ht="15" hidden="false" customHeight="false" outlineLevel="0" collapsed="false">
      <c r="A124" s="13" t="n">
        <v>9</v>
      </c>
      <c r="B124" s="14" t="n">
        <v>46328</v>
      </c>
      <c r="C124" s="13" t="s">
        <v>74</v>
      </c>
      <c r="D124" s="13" t="s">
        <v>78</v>
      </c>
      <c r="E124" s="13" t="n">
        <v>7</v>
      </c>
      <c r="F124" s="15" t="str">
        <f aca="false">Jugadores!$B$12</f>
        <v>Jugador 8</v>
      </c>
      <c r="G124" s="16"/>
      <c r="H124" s="16"/>
      <c r="I124" s="16"/>
      <c r="J124" s="17" t="str">
        <f aca="false">IF(COUNT(G124:I124)=0,"",G124*55+H124*50+I124*50)</f>
        <v/>
      </c>
      <c r="K124" s="16"/>
      <c r="L124" s="16"/>
      <c r="M124" s="16"/>
      <c r="N124" s="17" t="str">
        <f aca="false">IF(COUNT(K124:M124)=0,"",MAX(K124:M124))</f>
        <v/>
      </c>
      <c r="O124" s="18" t="str">
        <f aca="false">IF(N124="","",IF(N124&gt;=7,"Sin pliometría ni velocidad. Solo isométricos, movilidad y tren superior. Valoración médica",IF(N124&gt;=4,"Sin pliometría el lunes. Sentadilla española 5x45 s","Sesión normal")))</f>
        <v/>
      </c>
      <c r="P124" s="16"/>
      <c r="Q124" s="16"/>
    </row>
    <row r="125" customFormat="false" ht="15" hidden="false" customHeight="false" outlineLevel="0" collapsed="false">
      <c r="A125" s="13" t="n">
        <v>9</v>
      </c>
      <c r="B125" s="14" t="n">
        <v>46328</v>
      </c>
      <c r="C125" s="13" t="s">
        <v>74</v>
      </c>
      <c r="D125" s="13" t="s">
        <v>78</v>
      </c>
      <c r="E125" s="13" t="n">
        <v>7</v>
      </c>
      <c r="F125" s="15" t="str">
        <f aca="false">Jugadores!$B$13</f>
        <v>Jugador 9</v>
      </c>
      <c r="G125" s="16"/>
      <c r="H125" s="16"/>
      <c r="I125" s="16"/>
      <c r="J125" s="17" t="str">
        <f aca="false">IF(COUNT(G125:I125)=0,"",G125*55+H125*50+I125*50)</f>
        <v/>
      </c>
      <c r="K125" s="16"/>
      <c r="L125" s="16"/>
      <c r="M125" s="16"/>
      <c r="N125" s="17" t="str">
        <f aca="false">IF(COUNT(K125:M125)=0,"",MAX(K125:M125))</f>
        <v/>
      </c>
      <c r="O125" s="18" t="str">
        <f aca="false">IF(N125="","",IF(N125&gt;=7,"Sin pliometría ni velocidad. Solo isométricos, movilidad y tren superior. Valoración médica",IF(N125&gt;=4,"Sin pliometría el lunes. Sentadilla española 5x45 s","Sesión normal")))</f>
        <v/>
      </c>
      <c r="P125" s="16"/>
      <c r="Q125" s="16"/>
    </row>
    <row r="126" customFormat="false" ht="15" hidden="false" customHeight="false" outlineLevel="0" collapsed="false">
      <c r="A126" s="13" t="n">
        <v>9</v>
      </c>
      <c r="B126" s="14" t="n">
        <v>46328</v>
      </c>
      <c r="C126" s="13" t="s">
        <v>74</v>
      </c>
      <c r="D126" s="13" t="s">
        <v>78</v>
      </c>
      <c r="E126" s="13" t="n">
        <v>7</v>
      </c>
      <c r="F126" s="15" t="str">
        <f aca="false">Jugadores!$B$14</f>
        <v>Jugador 10</v>
      </c>
      <c r="G126" s="16"/>
      <c r="H126" s="16"/>
      <c r="I126" s="16"/>
      <c r="J126" s="17" t="str">
        <f aca="false">IF(COUNT(G126:I126)=0,"",G126*55+H126*50+I126*50)</f>
        <v/>
      </c>
      <c r="K126" s="16"/>
      <c r="L126" s="16"/>
      <c r="M126" s="16"/>
      <c r="N126" s="17" t="str">
        <f aca="false">IF(COUNT(K126:M126)=0,"",MAX(K126:M126))</f>
        <v/>
      </c>
      <c r="O126" s="18" t="str">
        <f aca="false">IF(N126="","",IF(N126&gt;=7,"Sin pliometría ni velocidad. Solo isométricos, movilidad y tren superior. Valoración médica",IF(N126&gt;=4,"Sin pliometría el lunes. Sentadilla española 5x45 s","Sesión normal")))</f>
        <v/>
      </c>
      <c r="P126" s="16"/>
      <c r="Q126" s="16"/>
    </row>
    <row r="127" customFormat="false" ht="15" hidden="false" customHeight="false" outlineLevel="0" collapsed="false">
      <c r="A127" s="13" t="n">
        <v>9</v>
      </c>
      <c r="B127" s="14" t="n">
        <v>46328</v>
      </c>
      <c r="C127" s="13" t="s">
        <v>74</v>
      </c>
      <c r="D127" s="13" t="s">
        <v>78</v>
      </c>
      <c r="E127" s="13" t="n">
        <v>7</v>
      </c>
      <c r="F127" s="15" t="str">
        <f aca="false">Jugadores!$B$15</f>
        <v>Jugador 11</v>
      </c>
      <c r="G127" s="16"/>
      <c r="H127" s="16"/>
      <c r="I127" s="16"/>
      <c r="J127" s="17" t="str">
        <f aca="false">IF(COUNT(G127:I127)=0,"",G127*55+H127*50+I127*50)</f>
        <v/>
      </c>
      <c r="K127" s="16"/>
      <c r="L127" s="16"/>
      <c r="M127" s="16"/>
      <c r="N127" s="17" t="str">
        <f aca="false">IF(COUNT(K127:M127)=0,"",MAX(K127:M127))</f>
        <v/>
      </c>
      <c r="O127" s="18" t="str">
        <f aca="false">IF(N127="","",IF(N127&gt;=7,"Sin pliometría ni velocidad. Solo isométricos, movilidad y tren superior. Valoración médica",IF(N127&gt;=4,"Sin pliometría el lunes. Sentadilla española 5x45 s","Sesión normal")))</f>
        <v/>
      </c>
      <c r="P127" s="16"/>
      <c r="Q127" s="16"/>
    </row>
    <row r="128" customFormat="false" ht="15" hidden="false" customHeight="false" outlineLevel="0" collapsed="false">
      <c r="A128" s="13" t="n">
        <v>9</v>
      </c>
      <c r="B128" s="14" t="n">
        <v>46328</v>
      </c>
      <c r="C128" s="13" t="s">
        <v>74</v>
      </c>
      <c r="D128" s="13" t="s">
        <v>78</v>
      </c>
      <c r="E128" s="13" t="n">
        <v>7</v>
      </c>
      <c r="F128" s="15" t="str">
        <f aca="false">Jugadores!$B$16</f>
        <v>Jugador 12</v>
      </c>
      <c r="G128" s="16"/>
      <c r="H128" s="16"/>
      <c r="I128" s="16"/>
      <c r="J128" s="17" t="str">
        <f aca="false">IF(COUNT(G128:I128)=0,"",G128*55+H128*50+I128*50)</f>
        <v/>
      </c>
      <c r="K128" s="16"/>
      <c r="L128" s="16"/>
      <c r="M128" s="16"/>
      <c r="N128" s="17" t="str">
        <f aca="false">IF(COUNT(K128:M128)=0,"",MAX(K128:M128))</f>
        <v/>
      </c>
      <c r="O128" s="18" t="str">
        <f aca="false">IF(N128="","",IF(N128&gt;=7,"Sin pliometría ni velocidad. Solo isométricos, movilidad y tren superior. Valoración médica",IF(N128&gt;=4,"Sin pliometría el lunes. Sentadilla española 5x45 s","Sesión normal")))</f>
        <v/>
      </c>
      <c r="P128" s="16"/>
      <c r="Q128" s="16"/>
    </row>
    <row r="129" customFormat="false" ht="15" hidden="false" customHeight="false" outlineLevel="0" collapsed="false">
      <c r="A129" s="13" t="n">
        <v>9</v>
      </c>
      <c r="B129" s="14" t="n">
        <v>46328</v>
      </c>
      <c r="C129" s="13" t="s">
        <v>74</v>
      </c>
      <c r="D129" s="13" t="s">
        <v>78</v>
      </c>
      <c r="E129" s="13" t="n">
        <v>7</v>
      </c>
      <c r="F129" s="15" t="str">
        <f aca="false">Jugadores!$B$17</f>
        <v>Jugador 13</v>
      </c>
      <c r="G129" s="16"/>
      <c r="H129" s="16"/>
      <c r="I129" s="16"/>
      <c r="J129" s="17" t="str">
        <f aca="false">IF(COUNT(G129:I129)=0,"",G129*55+H129*50+I129*50)</f>
        <v/>
      </c>
      <c r="K129" s="16"/>
      <c r="L129" s="16"/>
      <c r="M129" s="16"/>
      <c r="N129" s="17" t="str">
        <f aca="false">IF(COUNT(K129:M129)=0,"",MAX(K129:M129))</f>
        <v/>
      </c>
      <c r="O129" s="18" t="str">
        <f aca="false">IF(N129="","",IF(N129&gt;=7,"Sin pliometría ni velocidad. Solo isométricos, movilidad y tren superior. Valoración médica",IF(N129&gt;=4,"Sin pliometría el lunes. Sentadilla española 5x45 s","Sesión normal")))</f>
        <v/>
      </c>
      <c r="P129" s="16"/>
      <c r="Q129" s="16"/>
    </row>
    <row r="130" customFormat="false" ht="15" hidden="false" customHeight="false" outlineLevel="0" collapsed="false">
      <c r="A130" s="13" t="n">
        <v>9</v>
      </c>
      <c r="B130" s="14" t="n">
        <v>46328</v>
      </c>
      <c r="C130" s="13" t="s">
        <v>74</v>
      </c>
      <c r="D130" s="13" t="s">
        <v>78</v>
      </c>
      <c r="E130" s="13" t="n">
        <v>7</v>
      </c>
      <c r="F130" s="15" t="str">
        <f aca="false">Jugadores!$B$18</f>
        <v>Jugador 14</v>
      </c>
      <c r="G130" s="16"/>
      <c r="H130" s="16"/>
      <c r="I130" s="16"/>
      <c r="J130" s="17" t="str">
        <f aca="false">IF(COUNT(G130:I130)=0,"",G130*55+H130*50+I130*50)</f>
        <v/>
      </c>
      <c r="K130" s="16"/>
      <c r="L130" s="16"/>
      <c r="M130" s="16"/>
      <c r="N130" s="17" t="str">
        <f aca="false">IF(COUNT(K130:M130)=0,"",MAX(K130:M130))</f>
        <v/>
      </c>
      <c r="O130" s="18" t="str">
        <f aca="false">IF(N130="","",IF(N130&gt;=7,"Sin pliometría ni velocidad. Solo isométricos, movilidad y tren superior. Valoración médica",IF(N130&gt;=4,"Sin pliometría el lunes. Sentadilla española 5x45 s","Sesión normal")))</f>
        <v/>
      </c>
      <c r="P130" s="16"/>
      <c r="Q130" s="16"/>
    </row>
    <row r="131" customFormat="false" ht="15" hidden="false" customHeight="false" outlineLevel="0" collapsed="false">
      <c r="A131" s="13" t="n">
        <v>10</v>
      </c>
      <c r="B131" s="14" t="n">
        <v>46335</v>
      </c>
      <c r="C131" s="13" t="s">
        <v>74</v>
      </c>
      <c r="D131" s="13" t="s">
        <v>79</v>
      </c>
      <c r="E131" s="13" t="n">
        <v>9</v>
      </c>
      <c r="F131" s="15" t="str">
        <f aca="false">Jugadores!$B$5</f>
        <v>Jugador 1</v>
      </c>
      <c r="G131" s="16"/>
      <c r="H131" s="16"/>
      <c r="I131" s="16"/>
      <c r="J131" s="17" t="str">
        <f aca="false">IF(COUNT(G131:I131)=0,"",G131*55+H131*50+I131*50)</f>
        <v/>
      </c>
      <c r="K131" s="16"/>
      <c r="L131" s="16"/>
      <c r="M131" s="16"/>
      <c r="N131" s="17" t="str">
        <f aca="false">IF(COUNT(K131:M131)=0,"",MAX(K131:M131))</f>
        <v/>
      </c>
      <c r="O131" s="18" t="str">
        <f aca="false">IF(N131="","",IF(N131&gt;=7,"Sin pliometría ni velocidad. Solo isométricos, movilidad y tren superior. Valoración médica",IF(N131&gt;=4,"Sin pliometría el lunes. Sentadilla española 5x45 s","Sesión normal")))</f>
        <v/>
      </c>
      <c r="P131" s="16"/>
      <c r="Q131" s="16"/>
    </row>
    <row r="132" customFormat="false" ht="15" hidden="false" customHeight="false" outlineLevel="0" collapsed="false">
      <c r="A132" s="13" t="n">
        <v>10</v>
      </c>
      <c r="B132" s="14" t="n">
        <v>46335</v>
      </c>
      <c r="C132" s="13" t="s">
        <v>74</v>
      </c>
      <c r="D132" s="13" t="s">
        <v>79</v>
      </c>
      <c r="E132" s="13" t="n">
        <v>9</v>
      </c>
      <c r="F132" s="15" t="str">
        <f aca="false">Jugadores!$B$6</f>
        <v>Jugador 2</v>
      </c>
      <c r="G132" s="16"/>
      <c r="H132" s="16"/>
      <c r="I132" s="16"/>
      <c r="J132" s="17" t="str">
        <f aca="false">IF(COUNT(G132:I132)=0,"",G132*55+H132*50+I132*50)</f>
        <v/>
      </c>
      <c r="K132" s="16"/>
      <c r="L132" s="16"/>
      <c r="M132" s="16"/>
      <c r="N132" s="17" t="str">
        <f aca="false">IF(COUNT(K132:M132)=0,"",MAX(K132:M132))</f>
        <v/>
      </c>
      <c r="O132" s="18" t="str">
        <f aca="false">IF(N132="","",IF(N132&gt;=7,"Sin pliometría ni velocidad. Solo isométricos, movilidad y tren superior. Valoración médica",IF(N132&gt;=4,"Sin pliometría el lunes. Sentadilla española 5x45 s","Sesión normal")))</f>
        <v/>
      </c>
      <c r="P132" s="16"/>
      <c r="Q132" s="16"/>
    </row>
    <row r="133" customFormat="false" ht="15" hidden="false" customHeight="false" outlineLevel="0" collapsed="false">
      <c r="A133" s="13" t="n">
        <v>10</v>
      </c>
      <c r="B133" s="14" t="n">
        <v>46335</v>
      </c>
      <c r="C133" s="13" t="s">
        <v>74</v>
      </c>
      <c r="D133" s="13" t="s">
        <v>79</v>
      </c>
      <c r="E133" s="13" t="n">
        <v>9</v>
      </c>
      <c r="F133" s="15" t="str">
        <f aca="false">Jugadores!$B$7</f>
        <v>Jugador 3</v>
      </c>
      <c r="G133" s="16"/>
      <c r="H133" s="16"/>
      <c r="I133" s="16"/>
      <c r="J133" s="17" t="str">
        <f aca="false">IF(COUNT(G133:I133)=0,"",G133*55+H133*50+I133*50)</f>
        <v/>
      </c>
      <c r="K133" s="16"/>
      <c r="L133" s="16"/>
      <c r="M133" s="16"/>
      <c r="N133" s="17" t="str">
        <f aca="false">IF(COUNT(K133:M133)=0,"",MAX(K133:M133))</f>
        <v/>
      </c>
      <c r="O133" s="18" t="str">
        <f aca="false">IF(N133="","",IF(N133&gt;=7,"Sin pliometría ni velocidad. Solo isométricos, movilidad y tren superior. Valoración médica",IF(N133&gt;=4,"Sin pliometría el lunes. Sentadilla española 5x45 s","Sesión normal")))</f>
        <v/>
      </c>
      <c r="P133" s="16"/>
      <c r="Q133" s="16"/>
    </row>
    <row r="134" customFormat="false" ht="15" hidden="false" customHeight="false" outlineLevel="0" collapsed="false">
      <c r="A134" s="13" t="n">
        <v>10</v>
      </c>
      <c r="B134" s="14" t="n">
        <v>46335</v>
      </c>
      <c r="C134" s="13" t="s">
        <v>74</v>
      </c>
      <c r="D134" s="13" t="s">
        <v>79</v>
      </c>
      <c r="E134" s="13" t="n">
        <v>9</v>
      </c>
      <c r="F134" s="15" t="str">
        <f aca="false">Jugadores!$B$8</f>
        <v>Jugador 4</v>
      </c>
      <c r="G134" s="16"/>
      <c r="H134" s="16"/>
      <c r="I134" s="16"/>
      <c r="J134" s="17" t="str">
        <f aca="false">IF(COUNT(G134:I134)=0,"",G134*55+H134*50+I134*50)</f>
        <v/>
      </c>
      <c r="K134" s="16"/>
      <c r="L134" s="16"/>
      <c r="M134" s="16"/>
      <c r="N134" s="17" t="str">
        <f aca="false">IF(COUNT(K134:M134)=0,"",MAX(K134:M134))</f>
        <v/>
      </c>
      <c r="O134" s="18" t="str">
        <f aca="false">IF(N134="","",IF(N134&gt;=7,"Sin pliometría ni velocidad. Solo isométricos, movilidad y tren superior. Valoración médica",IF(N134&gt;=4,"Sin pliometría el lunes. Sentadilla española 5x45 s","Sesión normal")))</f>
        <v/>
      </c>
      <c r="P134" s="16"/>
      <c r="Q134" s="16"/>
    </row>
    <row r="135" customFormat="false" ht="15" hidden="false" customHeight="false" outlineLevel="0" collapsed="false">
      <c r="A135" s="13" t="n">
        <v>10</v>
      </c>
      <c r="B135" s="14" t="n">
        <v>46335</v>
      </c>
      <c r="C135" s="13" t="s">
        <v>74</v>
      </c>
      <c r="D135" s="13" t="s">
        <v>79</v>
      </c>
      <c r="E135" s="13" t="n">
        <v>9</v>
      </c>
      <c r="F135" s="15" t="str">
        <f aca="false">Jugadores!$B$9</f>
        <v>Jugador 5</v>
      </c>
      <c r="G135" s="16"/>
      <c r="H135" s="16"/>
      <c r="I135" s="16"/>
      <c r="J135" s="17" t="str">
        <f aca="false">IF(COUNT(G135:I135)=0,"",G135*55+H135*50+I135*50)</f>
        <v/>
      </c>
      <c r="K135" s="16"/>
      <c r="L135" s="16"/>
      <c r="M135" s="16"/>
      <c r="N135" s="17" t="str">
        <f aca="false">IF(COUNT(K135:M135)=0,"",MAX(K135:M135))</f>
        <v/>
      </c>
      <c r="O135" s="18" t="str">
        <f aca="false">IF(N135="","",IF(N135&gt;=7,"Sin pliometría ni velocidad. Solo isométricos, movilidad y tren superior. Valoración médica",IF(N135&gt;=4,"Sin pliometría el lunes. Sentadilla española 5x45 s","Sesión normal")))</f>
        <v/>
      </c>
      <c r="P135" s="16"/>
      <c r="Q135" s="16"/>
    </row>
    <row r="136" customFormat="false" ht="15" hidden="false" customHeight="false" outlineLevel="0" collapsed="false">
      <c r="A136" s="13" t="n">
        <v>10</v>
      </c>
      <c r="B136" s="14" t="n">
        <v>46335</v>
      </c>
      <c r="C136" s="13" t="s">
        <v>74</v>
      </c>
      <c r="D136" s="13" t="s">
        <v>79</v>
      </c>
      <c r="E136" s="13" t="n">
        <v>9</v>
      </c>
      <c r="F136" s="15" t="str">
        <f aca="false">Jugadores!$B$10</f>
        <v>Jugador 6</v>
      </c>
      <c r="G136" s="16"/>
      <c r="H136" s="16"/>
      <c r="I136" s="16"/>
      <c r="J136" s="17" t="str">
        <f aca="false">IF(COUNT(G136:I136)=0,"",G136*55+H136*50+I136*50)</f>
        <v/>
      </c>
      <c r="K136" s="16"/>
      <c r="L136" s="16"/>
      <c r="M136" s="16"/>
      <c r="N136" s="17" t="str">
        <f aca="false">IF(COUNT(K136:M136)=0,"",MAX(K136:M136))</f>
        <v/>
      </c>
      <c r="O136" s="18" t="str">
        <f aca="false">IF(N136="","",IF(N136&gt;=7,"Sin pliometría ni velocidad. Solo isométricos, movilidad y tren superior. Valoración médica",IF(N136&gt;=4,"Sin pliometría el lunes. Sentadilla española 5x45 s","Sesión normal")))</f>
        <v/>
      </c>
      <c r="P136" s="16"/>
      <c r="Q136" s="16"/>
    </row>
    <row r="137" customFormat="false" ht="15" hidden="false" customHeight="false" outlineLevel="0" collapsed="false">
      <c r="A137" s="13" t="n">
        <v>10</v>
      </c>
      <c r="B137" s="14" t="n">
        <v>46335</v>
      </c>
      <c r="C137" s="13" t="s">
        <v>74</v>
      </c>
      <c r="D137" s="13" t="s">
        <v>79</v>
      </c>
      <c r="E137" s="13" t="n">
        <v>9</v>
      </c>
      <c r="F137" s="15" t="str">
        <f aca="false">Jugadores!$B$11</f>
        <v>Jugador 7</v>
      </c>
      <c r="G137" s="16"/>
      <c r="H137" s="16"/>
      <c r="I137" s="16"/>
      <c r="J137" s="17" t="str">
        <f aca="false">IF(COUNT(G137:I137)=0,"",G137*55+H137*50+I137*50)</f>
        <v/>
      </c>
      <c r="K137" s="16"/>
      <c r="L137" s="16"/>
      <c r="M137" s="16"/>
      <c r="N137" s="17" t="str">
        <f aca="false">IF(COUNT(K137:M137)=0,"",MAX(K137:M137))</f>
        <v/>
      </c>
      <c r="O137" s="18" t="str">
        <f aca="false">IF(N137="","",IF(N137&gt;=7,"Sin pliometría ni velocidad. Solo isométricos, movilidad y tren superior. Valoración médica",IF(N137&gt;=4,"Sin pliometría el lunes. Sentadilla española 5x45 s","Sesión normal")))</f>
        <v/>
      </c>
      <c r="P137" s="16"/>
      <c r="Q137" s="16"/>
    </row>
    <row r="138" customFormat="false" ht="15" hidden="false" customHeight="false" outlineLevel="0" collapsed="false">
      <c r="A138" s="13" t="n">
        <v>10</v>
      </c>
      <c r="B138" s="14" t="n">
        <v>46335</v>
      </c>
      <c r="C138" s="13" t="s">
        <v>74</v>
      </c>
      <c r="D138" s="13" t="s">
        <v>79</v>
      </c>
      <c r="E138" s="13" t="n">
        <v>9</v>
      </c>
      <c r="F138" s="15" t="str">
        <f aca="false">Jugadores!$B$12</f>
        <v>Jugador 8</v>
      </c>
      <c r="G138" s="16"/>
      <c r="H138" s="16"/>
      <c r="I138" s="16"/>
      <c r="J138" s="17" t="str">
        <f aca="false">IF(COUNT(G138:I138)=0,"",G138*55+H138*50+I138*50)</f>
        <v/>
      </c>
      <c r="K138" s="16"/>
      <c r="L138" s="16"/>
      <c r="M138" s="16"/>
      <c r="N138" s="17" t="str">
        <f aca="false">IF(COUNT(K138:M138)=0,"",MAX(K138:M138))</f>
        <v/>
      </c>
      <c r="O138" s="18" t="str">
        <f aca="false">IF(N138="","",IF(N138&gt;=7,"Sin pliometría ni velocidad. Solo isométricos, movilidad y tren superior. Valoración médica",IF(N138&gt;=4,"Sin pliometría el lunes. Sentadilla española 5x45 s","Sesión normal")))</f>
        <v/>
      </c>
      <c r="P138" s="16"/>
      <c r="Q138" s="16"/>
    </row>
    <row r="139" customFormat="false" ht="15" hidden="false" customHeight="false" outlineLevel="0" collapsed="false">
      <c r="A139" s="13" t="n">
        <v>10</v>
      </c>
      <c r="B139" s="14" t="n">
        <v>46335</v>
      </c>
      <c r="C139" s="13" t="s">
        <v>74</v>
      </c>
      <c r="D139" s="13" t="s">
        <v>79</v>
      </c>
      <c r="E139" s="13" t="n">
        <v>9</v>
      </c>
      <c r="F139" s="15" t="str">
        <f aca="false">Jugadores!$B$13</f>
        <v>Jugador 9</v>
      </c>
      <c r="G139" s="16"/>
      <c r="H139" s="16"/>
      <c r="I139" s="16"/>
      <c r="J139" s="17" t="str">
        <f aca="false">IF(COUNT(G139:I139)=0,"",G139*55+H139*50+I139*50)</f>
        <v/>
      </c>
      <c r="K139" s="16"/>
      <c r="L139" s="16"/>
      <c r="M139" s="16"/>
      <c r="N139" s="17" t="str">
        <f aca="false">IF(COUNT(K139:M139)=0,"",MAX(K139:M139))</f>
        <v/>
      </c>
      <c r="O139" s="18" t="str">
        <f aca="false">IF(N139="","",IF(N139&gt;=7,"Sin pliometría ni velocidad. Solo isométricos, movilidad y tren superior. Valoración médica",IF(N139&gt;=4,"Sin pliometría el lunes. Sentadilla española 5x45 s","Sesión normal")))</f>
        <v/>
      </c>
      <c r="P139" s="16"/>
      <c r="Q139" s="16"/>
    </row>
    <row r="140" customFormat="false" ht="15" hidden="false" customHeight="false" outlineLevel="0" collapsed="false">
      <c r="A140" s="13" t="n">
        <v>10</v>
      </c>
      <c r="B140" s="14" t="n">
        <v>46335</v>
      </c>
      <c r="C140" s="13" t="s">
        <v>74</v>
      </c>
      <c r="D140" s="13" t="s">
        <v>79</v>
      </c>
      <c r="E140" s="13" t="n">
        <v>9</v>
      </c>
      <c r="F140" s="15" t="str">
        <f aca="false">Jugadores!$B$14</f>
        <v>Jugador 10</v>
      </c>
      <c r="G140" s="16"/>
      <c r="H140" s="16"/>
      <c r="I140" s="16"/>
      <c r="J140" s="17" t="str">
        <f aca="false">IF(COUNT(G140:I140)=0,"",G140*55+H140*50+I140*50)</f>
        <v/>
      </c>
      <c r="K140" s="16"/>
      <c r="L140" s="16"/>
      <c r="M140" s="16"/>
      <c r="N140" s="17" t="str">
        <f aca="false">IF(COUNT(K140:M140)=0,"",MAX(K140:M140))</f>
        <v/>
      </c>
      <c r="O140" s="18" t="str">
        <f aca="false">IF(N140="","",IF(N140&gt;=7,"Sin pliometría ni velocidad. Solo isométricos, movilidad y tren superior. Valoración médica",IF(N140&gt;=4,"Sin pliometría el lunes. Sentadilla española 5x45 s","Sesión normal")))</f>
        <v/>
      </c>
      <c r="P140" s="16"/>
      <c r="Q140" s="16"/>
    </row>
    <row r="141" customFormat="false" ht="15" hidden="false" customHeight="false" outlineLevel="0" collapsed="false">
      <c r="A141" s="13" t="n">
        <v>10</v>
      </c>
      <c r="B141" s="14" t="n">
        <v>46335</v>
      </c>
      <c r="C141" s="13" t="s">
        <v>74</v>
      </c>
      <c r="D141" s="13" t="s">
        <v>79</v>
      </c>
      <c r="E141" s="13" t="n">
        <v>9</v>
      </c>
      <c r="F141" s="15" t="str">
        <f aca="false">Jugadores!$B$15</f>
        <v>Jugador 11</v>
      </c>
      <c r="G141" s="16"/>
      <c r="H141" s="16"/>
      <c r="I141" s="16"/>
      <c r="J141" s="17" t="str">
        <f aca="false">IF(COUNT(G141:I141)=0,"",G141*55+H141*50+I141*50)</f>
        <v/>
      </c>
      <c r="K141" s="16"/>
      <c r="L141" s="16"/>
      <c r="M141" s="16"/>
      <c r="N141" s="17" t="str">
        <f aca="false">IF(COUNT(K141:M141)=0,"",MAX(K141:M141))</f>
        <v/>
      </c>
      <c r="O141" s="18" t="str">
        <f aca="false">IF(N141="","",IF(N141&gt;=7,"Sin pliometría ni velocidad. Solo isométricos, movilidad y tren superior. Valoración médica",IF(N141&gt;=4,"Sin pliometría el lunes. Sentadilla española 5x45 s","Sesión normal")))</f>
        <v/>
      </c>
      <c r="P141" s="16"/>
      <c r="Q141" s="16"/>
    </row>
    <row r="142" customFormat="false" ht="15" hidden="false" customHeight="false" outlineLevel="0" collapsed="false">
      <c r="A142" s="13" t="n">
        <v>10</v>
      </c>
      <c r="B142" s="14" t="n">
        <v>46335</v>
      </c>
      <c r="C142" s="13" t="s">
        <v>74</v>
      </c>
      <c r="D142" s="13" t="s">
        <v>79</v>
      </c>
      <c r="E142" s="13" t="n">
        <v>9</v>
      </c>
      <c r="F142" s="15" t="str">
        <f aca="false">Jugadores!$B$16</f>
        <v>Jugador 12</v>
      </c>
      <c r="G142" s="16"/>
      <c r="H142" s="16"/>
      <c r="I142" s="16"/>
      <c r="J142" s="17" t="str">
        <f aca="false">IF(COUNT(G142:I142)=0,"",G142*55+H142*50+I142*50)</f>
        <v/>
      </c>
      <c r="K142" s="16"/>
      <c r="L142" s="16"/>
      <c r="M142" s="16"/>
      <c r="N142" s="17" t="str">
        <f aca="false">IF(COUNT(K142:M142)=0,"",MAX(K142:M142))</f>
        <v/>
      </c>
      <c r="O142" s="18" t="str">
        <f aca="false">IF(N142="","",IF(N142&gt;=7,"Sin pliometría ni velocidad. Solo isométricos, movilidad y tren superior. Valoración médica",IF(N142&gt;=4,"Sin pliometría el lunes. Sentadilla española 5x45 s","Sesión normal")))</f>
        <v/>
      </c>
      <c r="P142" s="16"/>
      <c r="Q142" s="16"/>
    </row>
    <row r="143" customFormat="false" ht="15" hidden="false" customHeight="false" outlineLevel="0" collapsed="false">
      <c r="A143" s="13" t="n">
        <v>10</v>
      </c>
      <c r="B143" s="14" t="n">
        <v>46335</v>
      </c>
      <c r="C143" s="13" t="s">
        <v>74</v>
      </c>
      <c r="D143" s="13" t="s">
        <v>79</v>
      </c>
      <c r="E143" s="13" t="n">
        <v>9</v>
      </c>
      <c r="F143" s="15" t="str">
        <f aca="false">Jugadores!$B$17</f>
        <v>Jugador 13</v>
      </c>
      <c r="G143" s="16"/>
      <c r="H143" s="16"/>
      <c r="I143" s="16"/>
      <c r="J143" s="17" t="str">
        <f aca="false">IF(COUNT(G143:I143)=0,"",G143*55+H143*50+I143*50)</f>
        <v/>
      </c>
      <c r="K143" s="16"/>
      <c r="L143" s="16"/>
      <c r="M143" s="16"/>
      <c r="N143" s="17" t="str">
        <f aca="false">IF(COUNT(K143:M143)=0,"",MAX(K143:M143))</f>
        <v/>
      </c>
      <c r="O143" s="18" t="str">
        <f aca="false">IF(N143="","",IF(N143&gt;=7,"Sin pliometría ni velocidad. Solo isométricos, movilidad y tren superior. Valoración médica",IF(N143&gt;=4,"Sin pliometría el lunes. Sentadilla española 5x45 s","Sesión normal")))</f>
        <v/>
      </c>
      <c r="P143" s="16"/>
      <c r="Q143" s="16"/>
    </row>
    <row r="144" customFormat="false" ht="15" hidden="false" customHeight="false" outlineLevel="0" collapsed="false">
      <c r="A144" s="13" t="n">
        <v>10</v>
      </c>
      <c r="B144" s="14" t="n">
        <v>46335</v>
      </c>
      <c r="C144" s="13" t="s">
        <v>74</v>
      </c>
      <c r="D144" s="13" t="s">
        <v>79</v>
      </c>
      <c r="E144" s="13" t="n">
        <v>9</v>
      </c>
      <c r="F144" s="15" t="str">
        <f aca="false">Jugadores!$B$18</f>
        <v>Jugador 14</v>
      </c>
      <c r="G144" s="16"/>
      <c r="H144" s="16"/>
      <c r="I144" s="16"/>
      <c r="J144" s="17" t="str">
        <f aca="false">IF(COUNT(G144:I144)=0,"",G144*55+H144*50+I144*50)</f>
        <v/>
      </c>
      <c r="K144" s="16"/>
      <c r="L144" s="16"/>
      <c r="M144" s="16"/>
      <c r="N144" s="17" t="str">
        <f aca="false">IF(COUNT(K144:M144)=0,"",MAX(K144:M144))</f>
        <v/>
      </c>
      <c r="O144" s="18" t="str">
        <f aca="false">IF(N144="","",IF(N144&gt;=7,"Sin pliometría ni velocidad. Solo isométricos, movilidad y tren superior. Valoración médica",IF(N144&gt;=4,"Sin pliometría el lunes. Sentadilla española 5x45 s","Sesión normal")))</f>
        <v/>
      </c>
      <c r="P144" s="16"/>
      <c r="Q144" s="16"/>
    </row>
    <row r="145" customFormat="false" ht="15" hidden="false" customHeight="false" outlineLevel="0" collapsed="false">
      <c r="A145" s="13" t="n">
        <v>11</v>
      </c>
      <c r="B145" s="14" t="n">
        <v>46342</v>
      </c>
      <c r="C145" s="13" t="s">
        <v>74</v>
      </c>
      <c r="D145" s="13" t="s">
        <v>80</v>
      </c>
      <c r="E145" s="13" t="n">
        <v>9</v>
      </c>
      <c r="F145" s="15" t="str">
        <f aca="false">Jugadores!$B$5</f>
        <v>Jugador 1</v>
      </c>
      <c r="G145" s="16"/>
      <c r="H145" s="16"/>
      <c r="I145" s="16"/>
      <c r="J145" s="17" t="str">
        <f aca="false">IF(COUNT(G145:I145)=0,"",G145*55+H145*50+I145*50)</f>
        <v/>
      </c>
      <c r="K145" s="16"/>
      <c r="L145" s="16"/>
      <c r="M145" s="16"/>
      <c r="N145" s="17" t="str">
        <f aca="false">IF(COUNT(K145:M145)=0,"",MAX(K145:M145))</f>
        <v/>
      </c>
      <c r="O145" s="18" t="str">
        <f aca="false">IF(N145="","",IF(N145&gt;=7,"Sin pliometría ni velocidad. Solo isométricos, movilidad y tren superior. Valoración médica",IF(N145&gt;=4,"Sin pliometría el lunes. Sentadilla española 5x45 s","Sesión normal")))</f>
        <v/>
      </c>
      <c r="P145" s="16"/>
      <c r="Q145" s="16"/>
    </row>
    <row r="146" customFormat="false" ht="15" hidden="false" customHeight="false" outlineLevel="0" collapsed="false">
      <c r="A146" s="13" t="n">
        <v>11</v>
      </c>
      <c r="B146" s="14" t="n">
        <v>46342</v>
      </c>
      <c r="C146" s="13" t="s">
        <v>74</v>
      </c>
      <c r="D146" s="13" t="s">
        <v>80</v>
      </c>
      <c r="E146" s="13" t="n">
        <v>9</v>
      </c>
      <c r="F146" s="15" t="str">
        <f aca="false">Jugadores!$B$6</f>
        <v>Jugador 2</v>
      </c>
      <c r="G146" s="16"/>
      <c r="H146" s="16"/>
      <c r="I146" s="16"/>
      <c r="J146" s="17" t="str">
        <f aca="false">IF(COUNT(G146:I146)=0,"",G146*55+H146*50+I146*50)</f>
        <v/>
      </c>
      <c r="K146" s="16"/>
      <c r="L146" s="16"/>
      <c r="M146" s="16"/>
      <c r="N146" s="17" t="str">
        <f aca="false">IF(COUNT(K146:M146)=0,"",MAX(K146:M146))</f>
        <v/>
      </c>
      <c r="O146" s="18" t="str">
        <f aca="false">IF(N146="","",IF(N146&gt;=7,"Sin pliometría ni velocidad. Solo isométricos, movilidad y tren superior. Valoración médica",IF(N146&gt;=4,"Sin pliometría el lunes. Sentadilla española 5x45 s","Sesión normal")))</f>
        <v/>
      </c>
      <c r="P146" s="16"/>
      <c r="Q146" s="16"/>
    </row>
    <row r="147" customFormat="false" ht="15" hidden="false" customHeight="false" outlineLevel="0" collapsed="false">
      <c r="A147" s="13" t="n">
        <v>11</v>
      </c>
      <c r="B147" s="14" t="n">
        <v>46342</v>
      </c>
      <c r="C147" s="13" t="s">
        <v>74</v>
      </c>
      <c r="D147" s="13" t="s">
        <v>80</v>
      </c>
      <c r="E147" s="13" t="n">
        <v>9</v>
      </c>
      <c r="F147" s="15" t="str">
        <f aca="false">Jugadores!$B$7</f>
        <v>Jugador 3</v>
      </c>
      <c r="G147" s="16"/>
      <c r="H147" s="16"/>
      <c r="I147" s="16"/>
      <c r="J147" s="17" t="str">
        <f aca="false">IF(COUNT(G147:I147)=0,"",G147*55+H147*50+I147*50)</f>
        <v/>
      </c>
      <c r="K147" s="16"/>
      <c r="L147" s="16"/>
      <c r="M147" s="16"/>
      <c r="N147" s="17" t="str">
        <f aca="false">IF(COUNT(K147:M147)=0,"",MAX(K147:M147))</f>
        <v/>
      </c>
      <c r="O147" s="18" t="str">
        <f aca="false">IF(N147="","",IF(N147&gt;=7,"Sin pliometría ni velocidad. Solo isométricos, movilidad y tren superior. Valoración médica",IF(N147&gt;=4,"Sin pliometría el lunes. Sentadilla española 5x45 s","Sesión normal")))</f>
        <v/>
      </c>
      <c r="P147" s="16"/>
      <c r="Q147" s="16"/>
    </row>
    <row r="148" customFormat="false" ht="15" hidden="false" customHeight="false" outlineLevel="0" collapsed="false">
      <c r="A148" s="13" t="n">
        <v>11</v>
      </c>
      <c r="B148" s="14" t="n">
        <v>46342</v>
      </c>
      <c r="C148" s="13" t="s">
        <v>74</v>
      </c>
      <c r="D148" s="13" t="s">
        <v>80</v>
      </c>
      <c r="E148" s="13" t="n">
        <v>9</v>
      </c>
      <c r="F148" s="15" t="str">
        <f aca="false">Jugadores!$B$8</f>
        <v>Jugador 4</v>
      </c>
      <c r="G148" s="16"/>
      <c r="H148" s="16"/>
      <c r="I148" s="16"/>
      <c r="J148" s="17" t="str">
        <f aca="false">IF(COUNT(G148:I148)=0,"",G148*55+H148*50+I148*50)</f>
        <v/>
      </c>
      <c r="K148" s="16"/>
      <c r="L148" s="16"/>
      <c r="M148" s="16"/>
      <c r="N148" s="17" t="str">
        <f aca="false">IF(COUNT(K148:M148)=0,"",MAX(K148:M148))</f>
        <v/>
      </c>
      <c r="O148" s="18" t="str">
        <f aca="false">IF(N148="","",IF(N148&gt;=7,"Sin pliometría ni velocidad. Solo isométricos, movilidad y tren superior. Valoración médica",IF(N148&gt;=4,"Sin pliometría el lunes. Sentadilla española 5x45 s","Sesión normal")))</f>
        <v/>
      </c>
      <c r="P148" s="16"/>
      <c r="Q148" s="16"/>
    </row>
    <row r="149" customFormat="false" ht="15" hidden="false" customHeight="false" outlineLevel="0" collapsed="false">
      <c r="A149" s="13" t="n">
        <v>11</v>
      </c>
      <c r="B149" s="14" t="n">
        <v>46342</v>
      </c>
      <c r="C149" s="13" t="s">
        <v>74</v>
      </c>
      <c r="D149" s="13" t="s">
        <v>80</v>
      </c>
      <c r="E149" s="13" t="n">
        <v>9</v>
      </c>
      <c r="F149" s="15" t="str">
        <f aca="false">Jugadores!$B$9</f>
        <v>Jugador 5</v>
      </c>
      <c r="G149" s="16"/>
      <c r="H149" s="16"/>
      <c r="I149" s="16"/>
      <c r="J149" s="17" t="str">
        <f aca="false">IF(COUNT(G149:I149)=0,"",G149*55+H149*50+I149*50)</f>
        <v/>
      </c>
      <c r="K149" s="16"/>
      <c r="L149" s="16"/>
      <c r="M149" s="16"/>
      <c r="N149" s="17" t="str">
        <f aca="false">IF(COUNT(K149:M149)=0,"",MAX(K149:M149))</f>
        <v/>
      </c>
      <c r="O149" s="18" t="str">
        <f aca="false">IF(N149="","",IF(N149&gt;=7,"Sin pliometría ni velocidad. Solo isométricos, movilidad y tren superior. Valoración médica",IF(N149&gt;=4,"Sin pliometría el lunes. Sentadilla española 5x45 s","Sesión normal")))</f>
        <v/>
      </c>
      <c r="P149" s="16"/>
      <c r="Q149" s="16"/>
    </row>
    <row r="150" customFormat="false" ht="15" hidden="false" customHeight="false" outlineLevel="0" collapsed="false">
      <c r="A150" s="13" t="n">
        <v>11</v>
      </c>
      <c r="B150" s="14" t="n">
        <v>46342</v>
      </c>
      <c r="C150" s="13" t="s">
        <v>74</v>
      </c>
      <c r="D150" s="13" t="s">
        <v>80</v>
      </c>
      <c r="E150" s="13" t="n">
        <v>9</v>
      </c>
      <c r="F150" s="15" t="str">
        <f aca="false">Jugadores!$B$10</f>
        <v>Jugador 6</v>
      </c>
      <c r="G150" s="16"/>
      <c r="H150" s="16"/>
      <c r="I150" s="16"/>
      <c r="J150" s="17" t="str">
        <f aca="false">IF(COUNT(G150:I150)=0,"",G150*55+H150*50+I150*50)</f>
        <v/>
      </c>
      <c r="K150" s="16"/>
      <c r="L150" s="16"/>
      <c r="M150" s="16"/>
      <c r="N150" s="17" t="str">
        <f aca="false">IF(COUNT(K150:M150)=0,"",MAX(K150:M150))</f>
        <v/>
      </c>
      <c r="O150" s="18" t="str">
        <f aca="false">IF(N150="","",IF(N150&gt;=7,"Sin pliometría ni velocidad. Solo isométricos, movilidad y tren superior. Valoración médica",IF(N150&gt;=4,"Sin pliometría el lunes. Sentadilla española 5x45 s","Sesión normal")))</f>
        <v/>
      </c>
      <c r="P150" s="16"/>
      <c r="Q150" s="16"/>
    </row>
    <row r="151" customFormat="false" ht="15" hidden="false" customHeight="false" outlineLevel="0" collapsed="false">
      <c r="A151" s="13" t="n">
        <v>11</v>
      </c>
      <c r="B151" s="14" t="n">
        <v>46342</v>
      </c>
      <c r="C151" s="13" t="s">
        <v>74</v>
      </c>
      <c r="D151" s="13" t="s">
        <v>80</v>
      </c>
      <c r="E151" s="13" t="n">
        <v>9</v>
      </c>
      <c r="F151" s="15" t="str">
        <f aca="false">Jugadores!$B$11</f>
        <v>Jugador 7</v>
      </c>
      <c r="G151" s="16"/>
      <c r="H151" s="16"/>
      <c r="I151" s="16"/>
      <c r="J151" s="17" t="str">
        <f aca="false">IF(COUNT(G151:I151)=0,"",G151*55+H151*50+I151*50)</f>
        <v/>
      </c>
      <c r="K151" s="16"/>
      <c r="L151" s="16"/>
      <c r="M151" s="16"/>
      <c r="N151" s="17" t="str">
        <f aca="false">IF(COUNT(K151:M151)=0,"",MAX(K151:M151))</f>
        <v/>
      </c>
      <c r="O151" s="18" t="str">
        <f aca="false">IF(N151="","",IF(N151&gt;=7,"Sin pliometría ni velocidad. Solo isométricos, movilidad y tren superior. Valoración médica",IF(N151&gt;=4,"Sin pliometría el lunes. Sentadilla española 5x45 s","Sesión normal")))</f>
        <v/>
      </c>
      <c r="P151" s="16"/>
      <c r="Q151" s="16"/>
    </row>
    <row r="152" customFormat="false" ht="15" hidden="false" customHeight="false" outlineLevel="0" collapsed="false">
      <c r="A152" s="13" t="n">
        <v>11</v>
      </c>
      <c r="B152" s="14" t="n">
        <v>46342</v>
      </c>
      <c r="C152" s="13" t="s">
        <v>74</v>
      </c>
      <c r="D152" s="13" t="s">
        <v>80</v>
      </c>
      <c r="E152" s="13" t="n">
        <v>9</v>
      </c>
      <c r="F152" s="15" t="str">
        <f aca="false">Jugadores!$B$12</f>
        <v>Jugador 8</v>
      </c>
      <c r="G152" s="16"/>
      <c r="H152" s="16"/>
      <c r="I152" s="16"/>
      <c r="J152" s="17" t="str">
        <f aca="false">IF(COUNT(G152:I152)=0,"",G152*55+H152*50+I152*50)</f>
        <v/>
      </c>
      <c r="K152" s="16"/>
      <c r="L152" s="16"/>
      <c r="M152" s="16"/>
      <c r="N152" s="17" t="str">
        <f aca="false">IF(COUNT(K152:M152)=0,"",MAX(K152:M152))</f>
        <v/>
      </c>
      <c r="O152" s="18" t="str">
        <f aca="false">IF(N152="","",IF(N152&gt;=7,"Sin pliometría ni velocidad. Solo isométricos, movilidad y tren superior. Valoración médica",IF(N152&gt;=4,"Sin pliometría el lunes. Sentadilla española 5x45 s","Sesión normal")))</f>
        <v/>
      </c>
      <c r="P152" s="16"/>
      <c r="Q152" s="16"/>
    </row>
    <row r="153" customFormat="false" ht="15" hidden="false" customHeight="false" outlineLevel="0" collapsed="false">
      <c r="A153" s="13" t="n">
        <v>11</v>
      </c>
      <c r="B153" s="14" t="n">
        <v>46342</v>
      </c>
      <c r="C153" s="13" t="s">
        <v>74</v>
      </c>
      <c r="D153" s="13" t="s">
        <v>80</v>
      </c>
      <c r="E153" s="13" t="n">
        <v>9</v>
      </c>
      <c r="F153" s="15" t="str">
        <f aca="false">Jugadores!$B$13</f>
        <v>Jugador 9</v>
      </c>
      <c r="G153" s="16"/>
      <c r="H153" s="16"/>
      <c r="I153" s="16"/>
      <c r="J153" s="17" t="str">
        <f aca="false">IF(COUNT(G153:I153)=0,"",G153*55+H153*50+I153*50)</f>
        <v/>
      </c>
      <c r="K153" s="16"/>
      <c r="L153" s="16"/>
      <c r="M153" s="16"/>
      <c r="N153" s="17" t="str">
        <f aca="false">IF(COUNT(K153:M153)=0,"",MAX(K153:M153))</f>
        <v/>
      </c>
      <c r="O153" s="18" t="str">
        <f aca="false">IF(N153="","",IF(N153&gt;=7,"Sin pliometría ni velocidad. Solo isométricos, movilidad y tren superior. Valoración médica",IF(N153&gt;=4,"Sin pliometría el lunes. Sentadilla española 5x45 s","Sesión normal")))</f>
        <v/>
      </c>
      <c r="P153" s="16"/>
      <c r="Q153" s="16"/>
    </row>
    <row r="154" customFormat="false" ht="15" hidden="false" customHeight="false" outlineLevel="0" collapsed="false">
      <c r="A154" s="13" t="n">
        <v>11</v>
      </c>
      <c r="B154" s="14" t="n">
        <v>46342</v>
      </c>
      <c r="C154" s="13" t="s">
        <v>74</v>
      </c>
      <c r="D154" s="13" t="s">
        <v>80</v>
      </c>
      <c r="E154" s="13" t="n">
        <v>9</v>
      </c>
      <c r="F154" s="15" t="str">
        <f aca="false">Jugadores!$B$14</f>
        <v>Jugador 10</v>
      </c>
      <c r="G154" s="16"/>
      <c r="H154" s="16"/>
      <c r="I154" s="16"/>
      <c r="J154" s="17" t="str">
        <f aca="false">IF(COUNT(G154:I154)=0,"",G154*55+H154*50+I154*50)</f>
        <v/>
      </c>
      <c r="K154" s="16"/>
      <c r="L154" s="16"/>
      <c r="M154" s="16"/>
      <c r="N154" s="17" t="str">
        <f aca="false">IF(COUNT(K154:M154)=0,"",MAX(K154:M154))</f>
        <v/>
      </c>
      <c r="O154" s="18" t="str">
        <f aca="false">IF(N154="","",IF(N154&gt;=7,"Sin pliometría ni velocidad. Solo isométricos, movilidad y tren superior. Valoración médica",IF(N154&gt;=4,"Sin pliometría el lunes. Sentadilla española 5x45 s","Sesión normal")))</f>
        <v/>
      </c>
      <c r="P154" s="16"/>
      <c r="Q154" s="16"/>
    </row>
    <row r="155" customFormat="false" ht="15" hidden="false" customHeight="false" outlineLevel="0" collapsed="false">
      <c r="A155" s="13" t="n">
        <v>11</v>
      </c>
      <c r="B155" s="14" t="n">
        <v>46342</v>
      </c>
      <c r="C155" s="13" t="s">
        <v>74</v>
      </c>
      <c r="D155" s="13" t="s">
        <v>80</v>
      </c>
      <c r="E155" s="13" t="n">
        <v>9</v>
      </c>
      <c r="F155" s="15" t="str">
        <f aca="false">Jugadores!$B$15</f>
        <v>Jugador 11</v>
      </c>
      <c r="G155" s="16"/>
      <c r="H155" s="16"/>
      <c r="I155" s="16"/>
      <c r="J155" s="17" t="str">
        <f aca="false">IF(COUNT(G155:I155)=0,"",G155*55+H155*50+I155*50)</f>
        <v/>
      </c>
      <c r="K155" s="16"/>
      <c r="L155" s="16"/>
      <c r="M155" s="16"/>
      <c r="N155" s="17" t="str">
        <f aca="false">IF(COUNT(K155:M155)=0,"",MAX(K155:M155))</f>
        <v/>
      </c>
      <c r="O155" s="18" t="str">
        <f aca="false">IF(N155="","",IF(N155&gt;=7,"Sin pliometría ni velocidad. Solo isométricos, movilidad y tren superior. Valoración médica",IF(N155&gt;=4,"Sin pliometría el lunes. Sentadilla española 5x45 s","Sesión normal")))</f>
        <v/>
      </c>
      <c r="P155" s="16"/>
      <c r="Q155" s="16"/>
    </row>
    <row r="156" customFormat="false" ht="15" hidden="false" customHeight="false" outlineLevel="0" collapsed="false">
      <c r="A156" s="13" t="n">
        <v>11</v>
      </c>
      <c r="B156" s="14" t="n">
        <v>46342</v>
      </c>
      <c r="C156" s="13" t="s">
        <v>74</v>
      </c>
      <c r="D156" s="13" t="s">
        <v>80</v>
      </c>
      <c r="E156" s="13" t="n">
        <v>9</v>
      </c>
      <c r="F156" s="15" t="str">
        <f aca="false">Jugadores!$B$16</f>
        <v>Jugador 12</v>
      </c>
      <c r="G156" s="16"/>
      <c r="H156" s="16"/>
      <c r="I156" s="16"/>
      <c r="J156" s="17" t="str">
        <f aca="false">IF(COUNT(G156:I156)=0,"",G156*55+H156*50+I156*50)</f>
        <v/>
      </c>
      <c r="K156" s="16"/>
      <c r="L156" s="16"/>
      <c r="M156" s="16"/>
      <c r="N156" s="17" t="str">
        <f aca="false">IF(COUNT(K156:M156)=0,"",MAX(K156:M156))</f>
        <v/>
      </c>
      <c r="O156" s="18" t="str">
        <f aca="false">IF(N156="","",IF(N156&gt;=7,"Sin pliometría ni velocidad. Solo isométricos, movilidad y tren superior. Valoración médica",IF(N156&gt;=4,"Sin pliometría el lunes. Sentadilla española 5x45 s","Sesión normal")))</f>
        <v/>
      </c>
      <c r="P156" s="16"/>
      <c r="Q156" s="16"/>
    </row>
    <row r="157" customFormat="false" ht="15" hidden="false" customHeight="false" outlineLevel="0" collapsed="false">
      <c r="A157" s="13" t="n">
        <v>11</v>
      </c>
      <c r="B157" s="14" t="n">
        <v>46342</v>
      </c>
      <c r="C157" s="13" t="s">
        <v>74</v>
      </c>
      <c r="D157" s="13" t="s">
        <v>80</v>
      </c>
      <c r="E157" s="13" t="n">
        <v>9</v>
      </c>
      <c r="F157" s="15" t="str">
        <f aca="false">Jugadores!$B$17</f>
        <v>Jugador 13</v>
      </c>
      <c r="G157" s="16"/>
      <c r="H157" s="16"/>
      <c r="I157" s="16"/>
      <c r="J157" s="17" t="str">
        <f aca="false">IF(COUNT(G157:I157)=0,"",G157*55+H157*50+I157*50)</f>
        <v/>
      </c>
      <c r="K157" s="16"/>
      <c r="L157" s="16"/>
      <c r="M157" s="16"/>
      <c r="N157" s="17" t="str">
        <f aca="false">IF(COUNT(K157:M157)=0,"",MAX(K157:M157))</f>
        <v/>
      </c>
      <c r="O157" s="18" t="str">
        <f aca="false">IF(N157="","",IF(N157&gt;=7,"Sin pliometría ni velocidad. Solo isométricos, movilidad y tren superior. Valoración médica",IF(N157&gt;=4,"Sin pliometría el lunes. Sentadilla española 5x45 s","Sesión normal")))</f>
        <v/>
      </c>
      <c r="P157" s="16"/>
      <c r="Q157" s="16"/>
    </row>
    <row r="158" customFormat="false" ht="15" hidden="false" customHeight="false" outlineLevel="0" collapsed="false">
      <c r="A158" s="13" t="n">
        <v>11</v>
      </c>
      <c r="B158" s="14" t="n">
        <v>46342</v>
      </c>
      <c r="C158" s="13" t="s">
        <v>74</v>
      </c>
      <c r="D158" s="13" t="s">
        <v>80</v>
      </c>
      <c r="E158" s="13" t="n">
        <v>9</v>
      </c>
      <c r="F158" s="15" t="str">
        <f aca="false">Jugadores!$B$18</f>
        <v>Jugador 14</v>
      </c>
      <c r="G158" s="16"/>
      <c r="H158" s="16"/>
      <c r="I158" s="16"/>
      <c r="J158" s="17" t="str">
        <f aca="false">IF(COUNT(G158:I158)=0,"",G158*55+H158*50+I158*50)</f>
        <v/>
      </c>
      <c r="K158" s="16"/>
      <c r="L158" s="16"/>
      <c r="M158" s="16"/>
      <c r="N158" s="17" t="str">
        <f aca="false">IF(COUNT(K158:M158)=0,"",MAX(K158:M158))</f>
        <v/>
      </c>
      <c r="O158" s="18" t="str">
        <f aca="false">IF(N158="","",IF(N158&gt;=7,"Sin pliometría ni velocidad. Solo isométricos, movilidad y tren superior. Valoración médica",IF(N158&gt;=4,"Sin pliometría el lunes. Sentadilla española 5x45 s","Sesión normal")))</f>
        <v/>
      </c>
      <c r="P158" s="16"/>
      <c r="Q158" s="16"/>
    </row>
    <row r="159" customFormat="false" ht="15" hidden="false" customHeight="false" outlineLevel="0" collapsed="false">
      <c r="A159" s="13" t="n">
        <v>12</v>
      </c>
      <c r="B159" s="14" t="n">
        <v>46349</v>
      </c>
      <c r="C159" s="13" t="s">
        <v>74</v>
      </c>
      <c r="D159" s="13" t="s">
        <v>81</v>
      </c>
      <c r="E159" s="13" t="n">
        <v>6</v>
      </c>
      <c r="F159" s="15" t="str">
        <f aca="false">Jugadores!$B$5</f>
        <v>Jugador 1</v>
      </c>
      <c r="G159" s="16"/>
      <c r="H159" s="16"/>
      <c r="I159" s="16"/>
      <c r="J159" s="17" t="str">
        <f aca="false">IF(COUNT(G159:I159)=0,"",G159*55+H159*50+I159*50)</f>
        <v/>
      </c>
      <c r="K159" s="16"/>
      <c r="L159" s="16"/>
      <c r="M159" s="16"/>
      <c r="N159" s="17" t="str">
        <f aca="false">IF(COUNT(K159:M159)=0,"",MAX(K159:M159))</f>
        <v/>
      </c>
      <c r="O159" s="18" t="str">
        <f aca="false">IF(N159="","",IF(N159&gt;=7,"Sin pliometría ni velocidad. Solo isométricos, movilidad y tren superior. Valoración médica",IF(N159&gt;=4,"Sin pliometría el lunes. Sentadilla española 5x45 s","Sesión normal")))</f>
        <v/>
      </c>
      <c r="P159" s="16"/>
      <c r="Q159" s="16"/>
    </row>
    <row r="160" customFormat="false" ht="15" hidden="false" customHeight="false" outlineLevel="0" collapsed="false">
      <c r="A160" s="13" t="n">
        <v>12</v>
      </c>
      <c r="B160" s="14" t="n">
        <v>46349</v>
      </c>
      <c r="C160" s="13" t="s">
        <v>74</v>
      </c>
      <c r="D160" s="13" t="s">
        <v>81</v>
      </c>
      <c r="E160" s="13" t="n">
        <v>6</v>
      </c>
      <c r="F160" s="15" t="str">
        <f aca="false">Jugadores!$B$6</f>
        <v>Jugador 2</v>
      </c>
      <c r="G160" s="16"/>
      <c r="H160" s="16"/>
      <c r="I160" s="16"/>
      <c r="J160" s="17" t="str">
        <f aca="false">IF(COUNT(G160:I160)=0,"",G160*55+H160*50+I160*50)</f>
        <v/>
      </c>
      <c r="K160" s="16"/>
      <c r="L160" s="16"/>
      <c r="M160" s="16"/>
      <c r="N160" s="17" t="str">
        <f aca="false">IF(COUNT(K160:M160)=0,"",MAX(K160:M160))</f>
        <v/>
      </c>
      <c r="O160" s="18" t="str">
        <f aca="false">IF(N160="","",IF(N160&gt;=7,"Sin pliometría ni velocidad. Solo isométricos, movilidad y tren superior. Valoración médica",IF(N160&gt;=4,"Sin pliometría el lunes. Sentadilla española 5x45 s","Sesión normal")))</f>
        <v/>
      </c>
      <c r="P160" s="16"/>
      <c r="Q160" s="16"/>
    </row>
    <row r="161" customFormat="false" ht="15" hidden="false" customHeight="false" outlineLevel="0" collapsed="false">
      <c r="A161" s="13" t="n">
        <v>12</v>
      </c>
      <c r="B161" s="14" t="n">
        <v>46349</v>
      </c>
      <c r="C161" s="13" t="s">
        <v>74</v>
      </c>
      <c r="D161" s="13" t="s">
        <v>81</v>
      </c>
      <c r="E161" s="13" t="n">
        <v>6</v>
      </c>
      <c r="F161" s="15" t="str">
        <f aca="false">Jugadores!$B$7</f>
        <v>Jugador 3</v>
      </c>
      <c r="G161" s="16"/>
      <c r="H161" s="16"/>
      <c r="I161" s="16"/>
      <c r="J161" s="17" t="str">
        <f aca="false">IF(COUNT(G161:I161)=0,"",G161*55+H161*50+I161*50)</f>
        <v/>
      </c>
      <c r="K161" s="16"/>
      <c r="L161" s="16"/>
      <c r="M161" s="16"/>
      <c r="N161" s="17" t="str">
        <f aca="false">IF(COUNT(K161:M161)=0,"",MAX(K161:M161))</f>
        <v/>
      </c>
      <c r="O161" s="18" t="str">
        <f aca="false">IF(N161="","",IF(N161&gt;=7,"Sin pliometría ni velocidad. Solo isométricos, movilidad y tren superior. Valoración médica",IF(N161&gt;=4,"Sin pliometría el lunes. Sentadilla española 5x45 s","Sesión normal")))</f>
        <v/>
      </c>
      <c r="P161" s="16"/>
      <c r="Q161" s="16"/>
    </row>
    <row r="162" customFormat="false" ht="15" hidden="false" customHeight="false" outlineLevel="0" collapsed="false">
      <c r="A162" s="13" t="n">
        <v>12</v>
      </c>
      <c r="B162" s="14" t="n">
        <v>46349</v>
      </c>
      <c r="C162" s="13" t="s">
        <v>74</v>
      </c>
      <c r="D162" s="13" t="s">
        <v>81</v>
      </c>
      <c r="E162" s="13" t="n">
        <v>6</v>
      </c>
      <c r="F162" s="15" t="str">
        <f aca="false">Jugadores!$B$8</f>
        <v>Jugador 4</v>
      </c>
      <c r="G162" s="16"/>
      <c r="H162" s="16"/>
      <c r="I162" s="16"/>
      <c r="J162" s="17" t="str">
        <f aca="false">IF(COUNT(G162:I162)=0,"",G162*55+H162*50+I162*50)</f>
        <v/>
      </c>
      <c r="K162" s="16"/>
      <c r="L162" s="16"/>
      <c r="M162" s="16"/>
      <c r="N162" s="17" t="str">
        <f aca="false">IF(COUNT(K162:M162)=0,"",MAX(K162:M162))</f>
        <v/>
      </c>
      <c r="O162" s="18" t="str">
        <f aca="false">IF(N162="","",IF(N162&gt;=7,"Sin pliometría ni velocidad. Solo isométricos, movilidad y tren superior. Valoración médica",IF(N162&gt;=4,"Sin pliometría el lunes. Sentadilla española 5x45 s","Sesión normal")))</f>
        <v/>
      </c>
      <c r="P162" s="16"/>
      <c r="Q162" s="16"/>
    </row>
    <row r="163" customFormat="false" ht="15" hidden="false" customHeight="false" outlineLevel="0" collapsed="false">
      <c r="A163" s="13" t="n">
        <v>12</v>
      </c>
      <c r="B163" s="14" t="n">
        <v>46349</v>
      </c>
      <c r="C163" s="13" t="s">
        <v>74</v>
      </c>
      <c r="D163" s="13" t="s">
        <v>81</v>
      </c>
      <c r="E163" s="13" t="n">
        <v>6</v>
      </c>
      <c r="F163" s="15" t="str">
        <f aca="false">Jugadores!$B$9</f>
        <v>Jugador 5</v>
      </c>
      <c r="G163" s="16"/>
      <c r="H163" s="16"/>
      <c r="I163" s="16"/>
      <c r="J163" s="17" t="str">
        <f aca="false">IF(COUNT(G163:I163)=0,"",G163*55+H163*50+I163*50)</f>
        <v/>
      </c>
      <c r="K163" s="16"/>
      <c r="L163" s="16"/>
      <c r="M163" s="16"/>
      <c r="N163" s="17" t="str">
        <f aca="false">IF(COUNT(K163:M163)=0,"",MAX(K163:M163))</f>
        <v/>
      </c>
      <c r="O163" s="18" t="str">
        <f aca="false">IF(N163="","",IF(N163&gt;=7,"Sin pliometría ni velocidad. Solo isométricos, movilidad y tren superior. Valoración médica",IF(N163&gt;=4,"Sin pliometría el lunes. Sentadilla española 5x45 s","Sesión normal")))</f>
        <v/>
      </c>
      <c r="P163" s="16"/>
      <c r="Q163" s="16"/>
    </row>
    <row r="164" customFormat="false" ht="15" hidden="false" customHeight="false" outlineLevel="0" collapsed="false">
      <c r="A164" s="13" t="n">
        <v>12</v>
      </c>
      <c r="B164" s="14" t="n">
        <v>46349</v>
      </c>
      <c r="C164" s="13" t="s">
        <v>74</v>
      </c>
      <c r="D164" s="13" t="s">
        <v>81</v>
      </c>
      <c r="E164" s="13" t="n">
        <v>6</v>
      </c>
      <c r="F164" s="15" t="str">
        <f aca="false">Jugadores!$B$10</f>
        <v>Jugador 6</v>
      </c>
      <c r="G164" s="16"/>
      <c r="H164" s="16"/>
      <c r="I164" s="16"/>
      <c r="J164" s="17" t="str">
        <f aca="false">IF(COUNT(G164:I164)=0,"",G164*55+H164*50+I164*50)</f>
        <v/>
      </c>
      <c r="K164" s="16"/>
      <c r="L164" s="16"/>
      <c r="M164" s="16"/>
      <c r="N164" s="17" t="str">
        <f aca="false">IF(COUNT(K164:M164)=0,"",MAX(K164:M164))</f>
        <v/>
      </c>
      <c r="O164" s="18" t="str">
        <f aca="false">IF(N164="","",IF(N164&gt;=7,"Sin pliometría ni velocidad. Solo isométricos, movilidad y tren superior. Valoración médica",IF(N164&gt;=4,"Sin pliometría el lunes. Sentadilla española 5x45 s","Sesión normal")))</f>
        <v/>
      </c>
      <c r="P164" s="16"/>
      <c r="Q164" s="16"/>
    </row>
    <row r="165" customFormat="false" ht="15" hidden="false" customHeight="false" outlineLevel="0" collapsed="false">
      <c r="A165" s="13" t="n">
        <v>12</v>
      </c>
      <c r="B165" s="14" t="n">
        <v>46349</v>
      </c>
      <c r="C165" s="13" t="s">
        <v>74</v>
      </c>
      <c r="D165" s="13" t="s">
        <v>81</v>
      </c>
      <c r="E165" s="13" t="n">
        <v>6</v>
      </c>
      <c r="F165" s="15" t="str">
        <f aca="false">Jugadores!$B$11</f>
        <v>Jugador 7</v>
      </c>
      <c r="G165" s="16"/>
      <c r="H165" s="16"/>
      <c r="I165" s="16"/>
      <c r="J165" s="17" t="str">
        <f aca="false">IF(COUNT(G165:I165)=0,"",G165*55+H165*50+I165*50)</f>
        <v/>
      </c>
      <c r="K165" s="16"/>
      <c r="L165" s="16"/>
      <c r="M165" s="16"/>
      <c r="N165" s="17" t="str">
        <f aca="false">IF(COUNT(K165:M165)=0,"",MAX(K165:M165))</f>
        <v/>
      </c>
      <c r="O165" s="18" t="str">
        <f aca="false">IF(N165="","",IF(N165&gt;=7,"Sin pliometría ni velocidad. Solo isométricos, movilidad y tren superior. Valoración médica",IF(N165&gt;=4,"Sin pliometría el lunes. Sentadilla española 5x45 s","Sesión normal")))</f>
        <v/>
      </c>
      <c r="P165" s="16"/>
      <c r="Q165" s="16"/>
    </row>
    <row r="166" customFormat="false" ht="15" hidden="false" customHeight="false" outlineLevel="0" collapsed="false">
      <c r="A166" s="13" t="n">
        <v>12</v>
      </c>
      <c r="B166" s="14" t="n">
        <v>46349</v>
      </c>
      <c r="C166" s="13" t="s">
        <v>74</v>
      </c>
      <c r="D166" s="13" t="s">
        <v>81</v>
      </c>
      <c r="E166" s="13" t="n">
        <v>6</v>
      </c>
      <c r="F166" s="15" t="str">
        <f aca="false">Jugadores!$B$12</f>
        <v>Jugador 8</v>
      </c>
      <c r="G166" s="16"/>
      <c r="H166" s="16"/>
      <c r="I166" s="16"/>
      <c r="J166" s="17" t="str">
        <f aca="false">IF(COUNT(G166:I166)=0,"",G166*55+H166*50+I166*50)</f>
        <v/>
      </c>
      <c r="K166" s="16"/>
      <c r="L166" s="16"/>
      <c r="M166" s="16"/>
      <c r="N166" s="17" t="str">
        <f aca="false">IF(COUNT(K166:M166)=0,"",MAX(K166:M166))</f>
        <v/>
      </c>
      <c r="O166" s="18" t="str">
        <f aca="false">IF(N166="","",IF(N166&gt;=7,"Sin pliometría ni velocidad. Solo isométricos, movilidad y tren superior. Valoración médica",IF(N166&gt;=4,"Sin pliometría el lunes. Sentadilla española 5x45 s","Sesión normal")))</f>
        <v/>
      </c>
      <c r="P166" s="16"/>
      <c r="Q166" s="16"/>
    </row>
    <row r="167" customFormat="false" ht="15" hidden="false" customHeight="false" outlineLevel="0" collapsed="false">
      <c r="A167" s="13" t="n">
        <v>12</v>
      </c>
      <c r="B167" s="14" t="n">
        <v>46349</v>
      </c>
      <c r="C167" s="13" t="s">
        <v>74</v>
      </c>
      <c r="D167" s="13" t="s">
        <v>81</v>
      </c>
      <c r="E167" s="13" t="n">
        <v>6</v>
      </c>
      <c r="F167" s="15" t="str">
        <f aca="false">Jugadores!$B$13</f>
        <v>Jugador 9</v>
      </c>
      <c r="G167" s="16"/>
      <c r="H167" s="16"/>
      <c r="I167" s="16"/>
      <c r="J167" s="17" t="str">
        <f aca="false">IF(COUNT(G167:I167)=0,"",G167*55+H167*50+I167*50)</f>
        <v/>
      </c>
      <c r="K167" s="16"/>
      <c r="L167" s="16"/>
      <c r="M167" s="16"/>
      <c r="N167" s="17" t="str">
        <f aca="false">IF(COUNT(K167:M167)=0,"",MAX(K167:M167))</f>
        <v/>
      </c>
      <c r="O167" s="18" t="str">
        <f aca="false">IF(N167="","",IF(N167&gt;=7,"Sin pliometría ni velocidad. Solo isométricos, movilidad y tren superior. Valoración médica",IF(N167&gt;=4,"Sin pliometría el lunes. Sentadilla española 5x45 s","Sesión normal")))</f>
        <v/>
      </c>
      <c r="P167" s="16"/>
      <c r="Q167" s="16"/>
    </row>
    <row r="168" customFormat="false" ht="15" hidden="false" customHeight="false" outlineLevel="0" collapsed="false">
      <c r="A168" s="13" t="n">
        <v>12</v>
      </c>
      <c r="B168" s="14" t="n">
        <v>46349</v>
      </c>
      <c r="C168" s="13" t="s">
        <v>74</v>
      </c>
      <c r="D168" s="13" t="s">
        <v>81</v>
      </c>
      <c r="E168" s="13" t="n">
        <v>6</v>
      </c>
      <c r="F168" s="15" t="str">
        <f aca="false">Jugadores!$B$14</f>
        <v>Jugador 10</v>
      </c>
      <c r="G168" s="16"/>
      <c r="H168" s="16"/>
      <c r="I168" s="16"/>
      <c r="J168" s="17" t="str">
        <f aca="false">IF(COUNT(G168:I168)=0,"",G168*55+H168*50+I168*50)</f>
        <v/>
      </c>
      <c r="K168" s="16"/>
      <c r="L168" s="16"/>
      <c r="M168" s="16"/>
      <c r="N168" s="17" t="str">
        <f aca="false">IF(COUNT(K168:M168)=0,"",MAX(K168:M168))</f>
        <v/>
      </c>
      <c r="O168" s="18" t="str">
        <f aca="false">IF(N168="","",IF(N168&gt;=7,"Sin pliometría ni velocidad. Solo isométricos, movilidad y tren superior. Valoración médica",IF(N168&gt;=4,"Sin pliometría el lunes. Sentadilla española 5x45 s","Sesión normal")))</f>
        <v/>
      </c>
      <c r="P168" s="16"/>
      <c r="Q168" s="16"/>
    </row>
    <row r="169" customFormat="false" ht="15" hidden="false" customHeight="false" outlineLevel="0" collapsed="false">
      <c r="A169" s="13" t="n">
        <v>12</v>
      </c>
      <c r="B169" s="14" t="n">
        <v>46349</v>
      </c>
      <c r="C169" s="13" t="s">
        <v>74</v>
      </c>
      <c r="D169" s="13" t="s">
        <v>81</v>
      </c>
      <c r="E169" s="13" t="n">
        <v>6</v>
      </c>
      <c r="F169" s="15" t="str">
        <f aca="false">Jugadores!$B$15</f>
        <v>Jugador 11</v>
      </c>
      <c r="G169" s="16"/>
      <c r="H169" s="16"/>
      <c r="I169" s="16"/>
      <c r="J169" s="17" t="str">
        <f aca="false">IF(COUNT(G169:I169)=0,"",G169*55+H169*50+I169*50)</f>
        <v/>
      </c>
      <c r="K169" s="16"/>
      <c r="L169" s="16"/>
      <c r="M169" s="16"/>
      <c r="N169" s="17" t="str">
        <f aca="false">IF(COUNT(K169:M169)=0,"",MAX(K169:M169))</f>
        <v/>
      </c>
      <c r="O169" s="18" t="str">
        <f aca="false">IF(N169="","",IF(N169&gt;=7,"Sin pliometría ni velocidad. Solo isométricos, movilidad y tren superior. Valoración médica",IF(N169&gt;=4,"Sin pliometría el lunes. Sentadilla española 5x45 s","Sesión normal")))</f>
        <v/>
      </c>
      <c r="P169" s="16"/>
      <c r="Q169" s="16"/>
    </row>
    <row r="170" customFormat="false" ht="15" hidden="false" customHeight="false" outlineLevel="0" collapsed="false">
      <c r="A170" s="13" t="n">
        <v>12</v>
      </c>
      <c r="B170" s="14" t="n">
        <v>46349</v>
      </c>
      <c r="C170" s="13" t="s">
        <v>74</v>
      </c>
      <c r="D170" s="13" t="s">
        <v>81</v>
      </c>
      <c r="E170" s="13" t="n">
        <v>6</v>
      </c>
      <c r="F170" s="15" t="str">
        <f aca="false">Jugadores!$B$16</f>
        <v>Jugador 12</v>
      </c>
      <c r="G170" s="16"/>
      <c r="H170" s="16"/>
      <c r="I170" s="16"/>
      <c r="J170" s="17" t="str">
        <f aca="false">IF(COUNT(G170:I170)=0,"",G170*55+H170*50+I170*50)</f>
        <v/>
      </c>
      <c r="K170" s="16"/>
      <c r="L170" s="16"/>
      <c r="M170" s="16"/>
      <c r="N170" s="17" t="str">
        <f aca="false">IF(COUNT(K170:M170)=0,"",MAX(K170:M170))</f>
        <v/>
      </c>
      <c r="O170" s="18" t="str">
        <f aca="false">IF(N170="","",IF(N170&gt;=7,"Sin pliometría ni velocidad. Solo isométricos, movilidad y tren superior. Valoración médica",IF(N170&gt;=4,"Sin pliometría el lunes. Sentadilla española 5x45 s","Sesión normal")))</f>
        <v/>
      </c>
      <c r="P170" s="16"/>
      <c r="Q170" s="16"/>
    </row>
    <row r="171" customFormat="false" ht="15" hidden="false" customHeight="false" outlineLevel="0" collapsed="false">
      <c r="A171" s="13" t="n">
        <v>12</v>
      </c>
      <c r="B171" s="14" t="n">
        <v>46349</v>
      </c>
      <c r="C171" s="13" t="s">
        <v>74</v>
      </c>
      <c r="D171" s="13" t="s">
        <v>81</v>
      </c>
      <c r="E171" s="13" t="n">
        <v>6</v>
      </c>
      <c r="F171" s="15" t="str">
        <f aca="false">Jugadores!$B$17</f>
        <v>Jugador 13</v>
      </c>
      <c r="G171" s="16"/>
      <c r="H171" s="16"/>
      <c r="I171" s="16"/>
      <c r="J171" s="17" t="str">
        <f aca="false">IF(COUNT(G171:I171)=0,"",G171*55+H171*50+I171*50)</f>
        <v/>
      </c>
      <c r="K171" s="16"/>
      <c r="L171" s="16"/>
      <c r="M171" s="16"/>
      <c r="N171" s="17" t="str">
        <f aca="false">IF(COUNT(K171:M171)=0,"",MAX(K171:M171))</f>
        <v/>
      </c>
      <c r="O171" s="18" t="str">
        <f aca="false">IF(N171="","",IF(N171&gt;=7,"Sin pliometría ni velocidad. Solo isométricos, movilidad y tren superior. Valoración médica",IF(N171&gt;=4,"Sin pliometría el lunes. Sentadilla española 5x45 s","Sesión normal")))</f>
        <v/>
      </c>
      <c r="P171" s="16"/>
      <c r="Q171" s="16"/>
    </row>
    <row r="172" customFormat="false" ht="15" hidden="false" customHeight="false" outlineLevel="0" collapsed="false">
      <c r="A172" s="13" t="n">
        <v>12</v>
      </c>
      <c r="B172" s="14" t="n">
        <v>46349</v>
      </c>
      <c r="C172" s="13" t="s">
        <v>74</v>
      </c>
      <c r="D172" s="13" t="s">
        <v>81</v>
      </c>
      <c r="E172" s="13" t="n">
        <v>6</v>
      </c>
      <c r="F172" s="15" t="str">
        <f aca="false">Jugadores!$B$18</f>
        <v>Jugador 14</v>
      </c>
      <c r="G172" s="16"/>
      <c r="H172" s="16"/>
      <c r="I172" s="16"/>
      <c r="J172" s="17" t="str">
        <f aca="false">IF(COUNT(G172:I172)=0,"",G172*55+H172*50+I172*50)</f>
        <v/>
      </c>
      <c r="K172" s="16"/>
      <c r="L172" s="16"/>
      <c r="M172" s="16"/>
      <c r="N172" s="17" t="str">
        <f aca="false">IF(COUNT(K172:M172)=0,"",MAX(K172:M172))</f>
        <v/>
      </c>
      <c r="O172" s="18" t="str">
        <f aca="false">IF(N172="","",IF(N172&gt;=7,"Sin pliometría ni velocidad. Solo isométricos, movilidad y tren superior. Valoración médica",IF(N172&gt;=4,"Sin pliometría el lunes. Sentadilla española 5x45 s","Sesión normal")))</f>
        <v/>
      </c>
      <c r="P172" s="16"/>
      <c r="Q172" s="16"/>
    </row>
    <row r="173" customFormat="false" ht="15" hidden="false" customHeight="false" outlineLevel="0" collapsed="false">
      <c r="A173" s="13" t="n">
        <v>13</v>
      </c>
      <c r="B173" s="14" t="n">
        <v>46356</v>
      </c>
      <c r="C173" s="13" t="s">
        <v>82</v>
      </c>
      <c r="D173" s="13" t="s">
        <v>75</v>
      </c>
      <c r="E173" s="13" t="n">
        <v>9</v>
      </c>
      <c r="F173" s="15" t="str">
        <f aca="false">Jugadores!$B$5</f>
        <v>Jugador 1</v>
      </c>
      <c r="G173" s="16"/>
      <c r="H173" s="16"/>
      <c r="I173" s="16"/>
      <c r="J173" s="17" t="str">
        <f aca="false">IF(COUNT(G173:I173)=0,"",G173*55+H173*50+I173*50)</f>
        <v/>
      </c>
      <c r="K173" s="16"/>
      <c r="L173" s="16"/>
      <c r="M173" s="16"/>
      <c r="N173" s="17" t="str">
        <f aca="false">IF(COUNT(K173:M173)=0,"",MAX(K173:M173))</f>
        <v/>
      </c>
      <c r="O173" s="18" t="str">
        <f aca="false">IF(N173="","",IF(N173&gt;=7,"Sin pliometría ni velocidad. Solo isométricos, movilidad y tren superior. Valoración médica",IF(N173&gt;=4,"Sin pliometría el lunes. Sentadilla española 5x45 s","Sesión normal")))</f>
        <v/>
      </c>
      <c r="P173" s="16"/>
      <c r="Q173" s="16"/>
    </row>
    <row r="174" customFormat="false" ht="15" hidden="false" customHeight="false" outlineLevel="0" collapsed="false">
      <c r="A174" s="13" t="n">
        <v>13</v>
      </c>
      <c r="B174" s="14" t="n">
        <v>46356</v>
      </c>
      <c r="C174" s="13" t="s">
        <v>82</v>
      </c>
      <c r="D174" s="13" t="s">
        <v>75</v>
      </c>
      <c r="E174" s="13" t="n">
        <v>9</v>
      </c>
      <c r="F174" s="15" t="str">
        <f aca="false">Jugadores!$B$6</f>
        <v>Jugador 2</v>
      </c>
      <c r="G174" s="16"/>
      <c r="H174" s="16"/>
      <c r="I174" s="16"/>
      <c r="J174" s="17" t="str">
        <f aca="false">IF(COUNT(G174:I174)=0,"",G174*55+H174*50+I174*50)</f>
        <v/>
      </c>
      <c r="K174" s="16"/>
      <c r="L174" s="16"/>
      <c r="M174" s="16"/>
      <c r="N174" s="17" t="str">
        <f aca="false">IF(COUNT(K174:M174)=0,"",MAX(K174:M174))</f>
        <v/>
      </c>
      <c r="O174" s="18" t="str">
        <f aca="false">IF(N174="","",IF(N174&gt;=7,"Sin pliometría ni velocidad. Solo isométricos, movilidad y tren superior. Valoración médica",IF(N174&gt;=4,"Sin pliometría el lunes. Sentadilla española 5x45 s","Sesión normal")))</f>
        <v/>
      </c>
      <c r="P174" s="16"/>
      <c r="Q174" s="16"/>
    </row>
    <row r="175" customFormat="false" ht="15" hidden="false" customHeight="false" outlineLevel="0" collapsed="false">
      <c r="A175" s="13" t="n">
        <v>13</v>
      </c>
      <c r="B175" s="14" t="n">
        <v>46356</v>
      </c>
      <c r="C175" s="13" t="s">
        <v>82</v>
      </c>
      <c r="D175" s="13" t="s">
        <v>75</v>
      </c>
      <c r="E175" s="13" t="n">
        <v>9</v>
      </c>
      <c r="F175" s="15" t="str">
        <f aca="false">Jugadores!$B$7</f>
        <v>Jugador 3</v>
      </c>
      <c r="G175" s="16"/>
      <c r="H175" s="16"/>
      <c r="I175" s="16"/>
      <c r="J175" s="17" t="str">
        <f aca="false">IF(COUNT(G175:I175)=0,"",G175*55+H175*50+I175*50)</f>
        <v/>
      </c>
      <c r="K175" s="16"/>
      <c r="L175" s="16"/>
      <c r="M175" s="16"/>
      <c r="N175" s="17" t="str">
        <f aca="false">IF(COUNT(K175:M175)=0,"",MAX(K175:M175))</f>
        <v/>
      </c>
      <c r="O175" s="18" t="str">
        <f aca="false">IF(N175="","",IF(N175&gt;=7,"Sin pliometría ni velocidad. Solo isométricos, movilidad y tren superior. Valoración médica",IF(N175&gt;=4,"Sin pliometría el lunes. Sentadilla española 5x45 s","Sesión normal")))</f>
        <v/>
      </c>
      <c r="P175" s="16"/>
      <c r="Q175" s="16"/>
    </row>
    <row r="176" customFormat="false" ht="15" hidden="false" customHeight="false" outlineLevel="0" collapsed="false">
      <c r="A176" s="13" t="n">
        <v>13</v>
      </c>
      <c r="B176" s="14" t="n">
        <v>46356</v>
      </c>
      <c r="C176" s="13" t="s">
        <v>82</v>
      </c>
      <c r="D176" s="13" t="s">
        <v>75</v>
      </c>
      <c r="E176" s="13" t="n">
        <v>9</v>
      </c>
      <c r="F176" s="15" t="str">
        <f aca="false">Jugadores!$B$8</f>
        <v>Jugador 4</v>
      </c>
      <c r="G176" s="16"/>
      <c r="H176" s="16"/>
      <c r="I176" s="16"/>
      <c r="J176" s="17" t="str">
        <f aca="false">IF(COUNT(G176:I176)=0,"",G176*55+H176*50+I176*50)</f>
        <v/>
      </c>
      <c r="K176" s="16"/>
      <c r="L176" s="16"/>
      <c r="M176" s="16"/>
      <c r="N176" s="17" t="str">
        <f aca="false">IF(COUNT(K176:M176)=0,"",MAX(K176:M176))</f>
        <v/>
      </c>
      <c r="O176" s="18" t="str">
        <f aca="false">IF(N176="","",IF(N176&gt;=7,"Sin pliometría ni velocidad. Solo isométricos, movilidad y tren superior. Valoración médica",IF(N176&gt;=4,"Sin pliometría el lunes. Sentadilla española 5x45 s","Sesión normal")))</f>
        <v/>
      </c>
      <c r="P176" s="16"/>
      <c r="Q176" s="16"/>
    </row>
    <row r="177" customFormat="false" ht="15" hidden="false" customHeight="false" outlineLevel="0" collapsed="false">
      <c r="A177" s="13" t="n">
        <v>13</v>
      </c>
      <c r="B177" s="14" t="n">
        <v>46356</v>
      </c>
      <c r="C177" s="13" t="s">
        <v>82</v>
      </c>
      <c r="D177" s="13" t="s">
        <v>75</v>
      </c>
      <c r="E177" s="13" t="n">
        <v>9</v>
      </c>
      <c r="F177" s="15" t="str">
        <f aca="false">Jugadores!$B$9</f>
        <v>Jugador 5</v>
      </c>
      <c r="G177" s="16"/>
      <c r="H177" s="16"/>
      <c r="I177" s="16"/>
      <c r="J177" s="17" t="str">
        <f aca="false">IF(COUNT(G177:I177)=0,"",G177*55+H177*50+I177*50)</f>
        <v/>
      </c>
      <c r="K177" s="16"/>
      <c r="L177" s="16"/>
      <c r="M177" s="16"/>
      <c r="N177" s="17" t="str">
        <f aca="false">IF(COUNT(K177:M177)=0,"",MAX(K177:M177))</f>
        <v/>
      </c>
      <c r="O177" s="18" t="str">
        <f aca="false">IF(N177="","",IF(N177&gt;=7,"Sin pliometría ni velocidad. Solo isométricos, movilidad y tren superior. Valoración médica",IF(N177&gt;=4,"Sin pliometría el lunes. Sentadilla española 5x45 s","Sesión normal")))</f>
        <v/>
      </c>
      <c r="P177" s="16"/>
      <c r="Q177" s="16"/>
    </row>
    <row r="178" customFormat="false" ht="15" hidden="false" customHeight="false" outlineLevel="0" collapsed="false">
      <c r="A178" s="13" t="n">
        <v>13</v>
      </c>
      <c r="B178" s="14" t="n">
        <v>46356</v>
      </c>
      <c r="C178" s="13" t="s">
        <v>82</v>
      </c>
      <c r="D178" s="13" t="s">
        <v>75</v>
      </c>
      <c r="E178" s="13" t="n">
        <v>9</v>
      </c>
      <c r="F178" s="15" t="str">
        <f aca="false">Jugadores!$B$10</f>
        <v>Jugador 6</v>
      </c>
      <c r="G178" s="16"/>
      <c r="H178" s="16"/>
      <c r="I178" s="16"/>
      <c r="J178" s="17" t="str">
        <f aca="false">IF(COUNT(G178:I178)=0,"",G178*55+H178*50+I178*50)</f>
        <v/>
      </c>
      <c r="K178" s="16"/>
      <c r="L178" s="16"/>
      <c r="M178" s="16"/>
      <c r="N178" s="17" t="str">
        <f aca="false">IF(COUNT(K178:M178)=0,"",MAX(K178:M178))</f>
        <v/>
      </c>
      <c r="O178" s="18" t="str">
        <f aca="false">IF(N178="","",IF(N178&gt;=7,"Sin pliometría ni velocidad. Solo isométricos, movilidad y tren superior. Valoración médica",IF(N178&gt;=4,"Sin pliometría el lunes. Sentadilla española 5x45 s","Sesión normal")))</f>
        <v/>
      </c>
      <c r="P178" s="16"/>
      <c r="Q178" s="16"/>
    </row>
    <row r="179" customFormat="false" ht="15" hidden="false" customHeight="false" outlineLevel="0" collapsed="false">
      <c r="A179" s="13" t="n">
        <v>13</v>
      </c>
      <c r="B179" s="14" t="n">
        <v>46356</v>
      </c>
      <c r="C179" s="13" t="s">
        <v>82</v>
      </c>
      <c r="D179" s="13" t="s">
        <v>75</v>
      </c>
      <c r="E179" s="13" t="n">
        <v>9</v>
      </c>
      <c r="F179" s="15" t="str">
        <f aca="false">Jugadores!$B$11</f>
        <v>Jugador 7</v>
      </c>
      <c r="G179" s="16"/>
      <c r="H179" s="16"/>
      <c r="I179" s="16"/>
      <c r="J179" s="17" t="str">
        <f aca="false">IF(COUNT(G179:I179)=0,"",G179*55+H179*50+I179*50)</f>
        <v/>
      </c>
      <c r="K179" s="16"/>
      <c r="L179" s="16"/>
      <c r="M179" s="16"/>
      <c r="N179" s="17" t="str">
        <f aca="false">IF(COUNT(K179:M179)=0,"",MAX(K179:M179))</f>
        <v/>
      </c>
      <c r="O179" s="18" t="str">
        <f aca="false">IF(N179="","",IF(N179&gt;=7,"Sin pliometría ni velocidad. Solo isométricos, movilidad y tren superior. Valoración médica",IF(N179&gt;=4,"Sin pliometría el lunes. Sentadilla española 5x45 s","Sesión normal")))</f>
        <v/>
      </c>
      <c r="P179" s="16"/>
      <c r="Q179" s="16"/>
    </row>
    <row r="180" customFormat="false" ht="15" hidden="false" customHeight="false" outlineLevel="0" collapsed="false">
      <c r="A180" s="13" t="n">
        <v>13</v>
      </c>
      <c r="B180" s="14" t="n">
        <v>46356</v>
      </c>
      <c r="C180" s="13" t="s">
        <v>82</v>
      </c>
      <c r="D180" s="13" t="s">
        <v>75</v>
      </c>
      <c r="E180" s="13" t="n">
        <v>9</v>
      </c>
      <c r="F180" s="15" t="str">
        <f aca="false">Jugadores!$B$12</f>
        <v>Jugador 8</v>
      </c>
      <c r="G180" s="16"/>
      <c r="H180" s="16"/>
      <c r="I180" s="16"/>
      <c r="J180" s="17" t="str">
        <f aca="false">IF(COUNT(G180:I180)=0,"",G180*55+H180*50+I180*50)</f>
        <v/>
      </c>
      <c r="K180" s="16"/>
      <c r="L180" s="16"/>
      <c r="M180" s="16"/>
      <c r="N180" s="17" t="str">
        <f aca="false">IF(COUNT(K180:M180)=0,"",MAX(K180:M180))</f>
        <v/>
      </c>
      <c r="O180" s="18" t="str">
        <f aca="false">IF(N180="","",IF(N180&gt;=7,"Sin pliometría ni velocidad. Solo isométricos, movilidad y tren superior. Valoración médica",IF(N180&gt;=4,"Sin pliometría el lunes. Sentadilla española 5x45 s","Sesión normal")))</f>
        <v/>
      </c>
      <c r="P180" s="16"/>
      <c r="Q180" s="16"/>
    </row>
    <row r="181" customFormat="false" ht="15" hidden="false" customHeight="false" outlineLevel="0" collapsed="false">
      <c r="A181" s="13" t="n">
        <v>13</v>
      </c>
      <c r="B181" s="14" t="n">
        <v>46356</v>
      </c>
      <c r="C181" s="13" t="s">
        <v>82</v>
      </c>
      <c r="D181" s="13" t="s">
        <v>75</v>
      </c>
      <c r="E181" s="13" t="n">
        <v>9</v>
      </c>
      <c r="F181" s="15" t="str">
        <f aca="false">Jugadores!$B$13</f>
        <v>Jugador 9</v>
      </c>
      <c r="G181" s="16"/>
      <c r="H181" s="16"/>
      <c r="I181" s="16"/>
      <c r="J181" s="17" t="str">
        <f aca="false">IF(COUNT(G181:I181)=0,"",G181*55+H181*50+I181*50)</f>
        <v/>
      </c>
      <c r="K181" s="16"/>
      <c r="L181" s="16"/>
      <c r="M181" s="16"/>
      <c r="N181" s="17" t="str">
        <f aca="false">IF(COUNT(K181:M181)=0,"",MAX(K181:M181))</f>
        <v/>
      </c>
      <c r="O181" s="18" t="str">
        <f aca="false">IF(N181="","",IF(N181&gt;=7,"Sin pliometría ni velocidad. Solo isométricos, movilidad y tren superior. Valoración médica",IF(N181&gt;=4,"Sin pliometría el lunes. Sentadilla española 5x45 s","Sesión normal")))</f>
        <v/>
      </c>
      <c r="P181" s="16"/>
      <c r="Q181" s="16"/>
    </row>
    <row r="182" customFormat="false" ht="15" hidden="false" customHeight="false" outlineLevel="0" collapsed="false">
      <c r="A182" s="13" t="n">
        <v>13</v>
      </c>
      <c r="B182" s="14" t="n">
        <v>46356</v>
      </c>
      <c r="C182" s="13" t="s">
        <v>82</v>
      </c>
      <c r="D182" s="13" t="s">
        <v>75</v>
      </c>
      <c r="E182" s="13" t="n">
        <v>9</v>
      </c>
      <c r="F182" s="15" t="str">
        <f aca="false">Jugadores!$B$14</f>
        <v>Jugador 10</v>
      </c>
      <c r="G182" s="16"/>
      <c r="H182" s="16"/>
      <c r="I182" s="16"/>
      <c r="J182" s="17" t="str">
        <f aca="false">IF(COUNT(G182:I182)=0,"",G182*55+H182*50+I182*50)</f>
        <v/>
      </c>
      <c r="K182" s="16"/>
      <c r="L182" s="16"/>
      <c r="M182" s="16"/>
      <c r="N182" s="17" t="str">
        <f aca="false">IF(COUNT(K182:M182)=0,"",MAX(K182:M182))</f>
        <v/>
      </c>
      <c r="O182" s="18" t="str">
        <f aca="false">IF(N182="","",IF(N182&gt;=7,"Sin pliometría ni velocidad. Solo isométricos, movilidad y tren superior. Valoración médica",IF(N182&gt;=4,"Sin pliometría el lunes. Sentadilla española 5x45 s","Sesión normal")))</f>
        <v/>
      </c>
      <c r="P182" s="16"/>
      <c r="Q182" s="16"/>
    </row>
    <row r="183" customFormat="false" ht="15" hidden="false" customHeight="false" outlineLevel="0" collapsed="false">
      <c r="A183" s="13" t="n">
        <v>13</v>
      </c>
      <c r="B183" s="14" t="n">
        <v>46356</v>
      </c>
      <c r="C183" s="13" t="s">
        <v>82</v>
      </c>
      <c r="D183" s="13" t="s">
        <v>75</v>
      </c>
      <c r="E183" s="13" t="n">
        <v>9</v>
      </c>
      <c r="F183" s="15" t="str">
        <f aca="false">Jugadores!$B$15</f>
        <v>Jugador 11</v>
      </c>
      <c r="G183" s="16"/>
      <c r="H183" s="16"/>
      <c r="I183" s="16"/>
      <c r="J183" s="17" t="str">
        <f aca="false">IF(COUNT(G183:I183)=0,"",G183*55+H183*50+I183*50)</f>
        <v/>
      </c>
      <c r="K183" s="16"/>
      <c r="L183" s="16"/>
      <c r="M183" s="16"/>
      <c r="N183" s="17" t="str">
        <f aca="false">IF(COUNT(K183:M183)=0,"",MAX(K183:M183))</f>
        <v/>
      </c>
      <c r="O183" s="18" t="str">
        <f aca="false">IF(N183="","",IF(N183&gt;=7,"Sin pliometría ni velocidad. Solo isométricos, movilidad y tren superior. Valoración médica",IF(N183&gt;=4,"Sin pliometría el lunes. Sentadilla española 5x45 s","Sesión normal")))</f>
        <v/>
      </c>
      <c r="P183" s="16"/>
      <c r="Q183" s="16"/>
    </row>
    <row r="184" customFormat="false" ht="15" hidden="false" customHeight="false" outlineLevel="0" collapsed="false">
      <c r="A184" s="13" t="n">
        <v>13</v>
      </c>
      <c r="B184" s="14" t="n">
        <v>46356</v>
      </c>
      <c r="C184" s="13" t="s">
        <v>82</v>
      </c>
      <c r="D184" s="13" t="s">
        <v>75</v>
      </c>
      <c r="E184" s="13" t="n">
        <v>9</v>
      </c>
      <c r="F184" s="15" t="str">
        <f aca="false">Jugadores!$B$16</f>
        <v>Jugador 12</v>
      </c>
      <c r="G184" s="16"/>
      <c r="H184" s="16"/>
      <c r="I184" s="16"/>
      <c r="J184" s="17" t="str">
        <f aca="false">IF(COUNT(G184:I184)=0,"",G184*55+H184*50+I184*50)</f>
        <v/>
      </c>
      <c r="K184" s="16"/>
      <c r="L184" s="16"/>
      <c r="M184" s="16"/>
      <c r="N184" s="17" t="str">
        <f aca="false">IF(COUNT(K184:M184)=0,"",MAX(K184:M184))</f>
        <v/>
      </c>
      <c r="O184" s="18" t="str">
        <f aca="false">IF(N184="","",IF(N184&gt;=7,"Sin pliometría ni velocidad. Solo isométricos, movilidad y tren superior. Valoración médica",IF(N184&gt;=4,"Sin pliometría el lunes. Sentadilla española 5x45 s","Sesión normal")))</f>
        <v/>
      </c>
      <c r="P184" s="16"/>
      <c r="Q184" s="16"/>
    </row>
    <row r="185" customFormat="false" ht="15" hidden="false" customHeight="false" outlineLevel="0" collapsed="false">
      <c r="A185" s="13" t="n">
        <v>13</v>
      </c>
      <c r="B185" s="14" t="n">
        <v>46356</v>
      </c>
      <c r="C185" s="13" t="s">
        <v>82</v>
      </c>
      <c r="D185" s="13" t="s">
        <v>75</v>
      </c>
      <c r="E185" s="13" t="n">
        <v>9</v>
      </c>
      <c r="F185" s="15" t="str">
        <f aca="false">Jugadores!$B$17</f>
        <v>Jugador 13</v>
      </c>
      <c r="G185" s="16"/>
      <c r="H185" s="16"/>
      <c r="I185" s="16"/>
      <c r="J185" s="17" t="str">
        <f aca="false">IF(COUNT(G185:I185)=0,"",G185*55+H185*50+I185*50)</f>
        <v/>
      </c>
      <c r="K185" s="16"/>
      <c r="L185" s="16"/>
      <c r="M185" s="16"/>
      <c r="N185" s="17" t="str">
        <f aca="false">IF(COUNT(K185:M185)=0,"",MAX(K185:M185))</f>
        <v/>
      </c>
      <c r="O185" s="18" t="str">
        <f aca="false">IF(N185="","",IF(N185&gt;=7,"Sin pliometría ni velocidad. Solo isométricos, movilidad y tren superior. Valoración médica",IF(N185&gt;=4,"Sin pliometría el lunes. Sentadilla española 5x45 s","Sesión normal")))</f>
        <v/>
      </c>
      <c r="P185" s="16"/>
      <c r="Q185" s="16"/>
    </row>
    <row r="186" customFormat="false" ht="15" hidden="false" customHeight="false" outlineLevel="0" collapsed="false">
      <c r="A186" s="13" t="n">
        <v>13</v>
      </c>
      <c r="B186" s="14" t="n">
        <v>46356</v>
      </c>
      <c r="C186" s="13" t="s">
        <v>82</v>
      </c>
      <c r="D186" s="13" t="s">
        <v>75</v>
      </c>
      <c r="E186" s="13" t="n">
        <v>9</v>
      </c>
      <c r="F186" s="15" t="str">
        <f aca="false">Jugadores!$B$18</f>
        <v>Jugador 14</v>
      </c>
      <c r="G186" s="16"/>
      <c r="H186" s="16"/>
      <c r="I186" s="16"/>
      <c r="J186" s="17" t="str">
        <f aca="false">IF(COUNT(G186:I186)=0,"",G186*55+H186*50+I186*50)</f>
        <v/>
      </c>
      <c r="K186" s="16"/>
      <c r="L186" s="16"/>
      <c r="M186" s="16"/>
      <c r="N186" s="17" t="str">
        <f aca="false">IF(COUNT(K186:M186)=0,"",MAX(K186:M186))</f>
        <v/>
      </c>
      <c r="O186" s="18" t="str">
        <f aca="false">IF(N186="","",IF(N186&gt;=7,"Sin pliometría ni velocidad. Solo isométricos, movilidad y tren superior. Valoración médica",IF(N186&gt;=4,"Sin pliometría el lunes. Sentadilla española 5x45 s","Sesión normal")))</f>
        <v/>
      </c>
      <c r="P186" s="16"/>
      <c r="Q186" s="16"/>
    </row>
    <row r="187" customFormat="false" ht="15" hidden="false" customHeight="false" outlineLevel="0" collapsed="false">
      <c r="A187" s="13" t="n">
        <v>14</v>
      </c>
      <c r="B187" s="14" t="n">
        <v>46363</v>
      </c>
      <c r="C187" s="13" t="s">
        <v>82</v>
      </c>
      <c r="D187" s="13" t="s">
        <v>83</v>
      </c>
      <c r="E187" s="13" t="n">
        <v>7</v>
      </c>
      <c r="F187" s="15" t="str">
        <f aca="false">Jugadores!$B$5</f>
        <v>Jugador 1</v>
      </c>
      <c r="G187" s="16"/>
      <c r="H187" s="16"/>
      <c r="I187" s="16"/>
      <c r="J187" s="17" t="str">
        <f aca="false">IF(COUNT(G187:I187)=0,"",G187*55+H187*50+I187*50)</f>
        <v/>
      </c>
      <c r="K187" s="16"/>
      <c r="L187" s="16"/>
      <c r="M187" s="16"/>
      <c r="N187" s="17" t="str">
        <f aca="false">IF(COUNT(K187:M187)=0,"",MAX(K187:M187))</f>
        <v/>
      </c>
      <c r="O187" s="18" t="str">
        <f aca="false">IF(N187="","",IF(N187&gt;=7,"Sin pliometría ni velocidad. Solo isométricos, movilidad y tren superior. Valoración médica",IF(N187&gt;=4,"Sin pliometría el lunes. Sentadilla española 5x45 s","Sesión normal")))</f>
        <v/>
      </c>
      <c r="P187" s="16"/>
      <c r="Q187" s="16"/>
    </row>
    <row r="188" customFormat="false" ht="15" hidden="false" customHeight="false" outlineLevel="0" collapsed="false">
      <c r="A188" s="13" t="n">
        <v>14</v>
      </c>
      <c r="B188" s="14" t="n">
        <v>46363</v>
      </c>
      <c r="C188" s="13" t="s">
        <v>82</v>
      </c>
      <c r="D188" s="13" t="s">
        <v>83</v>
      </c>
      <c r="E188" s="13" t="n">
        <v>7</v>
      </c>
      <c r="F188" s="15" t="str">
        <f aca="false">Jugadores!$B$6</f>
        <v>Jugador 2</v>
      </c>
      <c r="G188" s="16"/>
      <c r="H188" s="16"/>
      <c r="I188" s="16"/>
      <c r="J188" s="17" t="str">
        <f aca="false">IF(COUNT(G188:I188)=0,"",G188*55+H188*50+I188*50)</f>
        <v/>
      </c>
      <c r="K188" s="16"/>
      <c r="L188" s="16"/>
      <c r="M188" s="16"/>
      <c r="N188" s="17" t="str">
        <f aca="false">IF(COUNT(K188:M188)=0,"",MAX(K188:M188))</f>
        <v/>
      </c>
      <c r="O188" s="18" t="str">
        <f aca="false">IF(N188="","",IF(N188&gt;=7,"Sin pliometría ni velocidad. Solo isométricos, movilidad y tren superior. Valoración médica",IF(N188&gt;=4,"Sin pliometría el lunes. Sentadilla española 5x45 s","Sesión normal")))</f>
        <v/>
      </c>
      <c r="P188" s="16"/>
      <c r="Q188" s="16"/>
    </row>
    <row r="189" customFormat="false" ht="15" hidden="false" customHeight="false" outlineLevel="0" collapsed="false">
      <c r="A189" s="13" t="n">
        <v>14</v>
      </c>
      <c r="B189" s="14" t="n">
        <v>46363</v>
      </c>
      <c r="C189" s="13" t="s">
        <v>82</v>
      </c>
      <c r="D189" s="13" t="s">
        <v>83</v>
      </c>
      <c r="E189" s="13" t="n">
        <v>7</v>
      </c>
      <c r="F189" s="15" t="str">
        <f aca="false">Jugadores!$B$7</f>
        <v>Jugador 3</v>
      </c>
      <c r="G189" s="16"/>
      <c r="H189" s="16"/>
      <c r="I189" s="16"/>
      <c r="J189" s="17" t="str">
        <f aca="false">IF(COUNT(G189:I189)=0,"",G189*55+H189*50+I189*50)</f>
        <v/>
      </c>
      <c r="K189" s="16"/>
      <c r="L189" s="16"/>
      <c r="M189" s="16"/>
      <c r="N189" s="17" t="str">
        <f aca="false">IF(COUNT(K189:M189)=0,"",MAX(K189:M189))</f>
        <v/>
      </c>
      <c r="O189" s="18" t="str">
        <f aca="false">IF(N189="","",IF(N189&gt;=7,"Sin pliometría ni velocidad. Solo isométricos, movilidad y tren superior. Valoración médica",IF(N189&gt;=4,"Sin pliometría el lunes. Sentadilla española 5x45 s","Sesión normal")))</f>
        <v/>
      </c>
      <c r="P189" s="16"/>
      <c r="Q189" s="16"/>
    </row>
    <row r="190" customFormat="false" ht="15" hidden="false" customHeight="false" outlineLevel="0" collapsed="false">
      <c r="A190" s="13" t="n">
        <v>14</v>
      </c>
      <c r="B190" s="14" t="n">
        <v>46363</v>
      </c>
      <c r="C190" s="13" t="s">
        <v>82</v>
      </c>
      <c r="D190" s="13" t="s">
        <v>83</v>
      </c>
      <c r="E190" s="13" t="n">
        <v>7</v>
      </c>
      <c r="F190" s="15" t="str">
        <f aca="false">Jugadores!$B$8</f>
        <v>Jugador 4</v>
      </c>
      <c r="G190" s="16"/>
      <c r="H190" s="16"/>
      <c r="I190" s="16"/>
      <c r="J190" s="17" t="str">
        <f aca="false">IF(COUNT(G190:I190)=0,"",G190*55+H190*50+I190*50)</f>
        <v/>
      </c>
      <c r="K190" s="16"/>
      <c r="L190" s="16"/>
      <c r="M190" s="16"/>
      <c r="N190" s="17" t="str">
        <f aca="false">IF(COUNT(K190:M190)=0,"",MAX(K190:M190))</f>
        <v/>
      </c>
      <c r="O190" s="18" t="str">
        <f aca="false">IF(N190="","",IF(N190&gt;=7,"Sin pliometría ni velocidad. Solo isométricos, movilidad y tren superior. Valoración médica",IF(N190&gt;=4,"Sin pliometría el lunes. Sentadilla española 5x45 s","Sesión normal")))</f>
        <v/>
      </c>
      <c r="P190" s="16"/>
      <c r="Q190" s="16"/>
    </row>
    <row r="191" customFormat="false" ht="15" hidden="false" customHeight="false" outlineLevel="0" collapsed="false">
      <c r="A191" s="13" t="n">
        <v>14</v>
      </c>
      <c r="B191" s="14" t="n">
        <v>46363</v>
      </c>
      <c r="C191" s="13" t="s">
        <v>82</v>
      </c>
      <c r="D191" s="13" t="s">
        <v>83</v>
      </c>
      <c r="E191" s="13" t="n">
        <v>7</v>
      </c>
      <c r="F191" s="15" t="str">
        <f aca="false">Jugadores!$B$9</f>
        <v>Jugador 5</v>
      </c>
      <c r="G191" s="16"/>
      <c r="H191" s="16"/>
      <c r="I191" s="16"/>
      <c r="J191" s="17" t="str">
        <f aca="false">IF(COUNT(G191:I191)=0,"",G191*55+H191*50+I191*50)</f>
        <v/>
      </c>
      <c r="K191" s="16"/>
      <c r="L191" s="16"/>
      <c r="M191" s="16"/>
      <c r="N191" s="17" t="str">
        <f aca="false">IF(COUNT(K191:M191)=0,"",MAX(K191:M191))</f>
        <v/>
      </c>
      <c r="O191" s="18" t="str">
        <f aca="false">IF(N191="","",IF(N191&gt;=7,"Sin pliometría ni velocidad. Solo isométricos, movilidad y tren superior. Valoración médica",IF(N191&gt;=4,"Sin pliometría el lunes. Sentadilla española 5x45 s","Sesión normal")))</f>
        <v/>
      </c>
      <c r="P191" s="16"/>
      <c r="Q191" s="16"/>
    </row>
    <row r="192" customFormat="false" ht="15" hidden="false" customHeight="false" outlineLevel="0" collapsed="false">
      <c r="A192" s="13" t="n">
        <v>14</v>
      </c>
      <c r="B192" s="14" t="n">
        <v>46363</v>
      </c>
      <c r="C192" s="13" t="s">
        <v>82</v>
      </c>
      <c r="D192" s="13" t="s">
        <v>83</v>
      </c>
      <c r="E192" s="13" t="n">
        <v>7</v>
      </c>
      <c r="F192" s="15" t="str">
        <f aca="false">Jugadores!$B$10</f>
        <v>Jugador 6</v>
      </c>
      <c r="G192" s="16"/>
      <c r="H192" s="16"/>
      <c r="I192" s="16"/>
      <c r="J192" s="17" t="str">
        <f aca="false">IF(COUNT(G192:I192)=0,"",G192*55+H192*50+I192*50)</f>
        <v/>
      </c>
      <c r="K192" s="16"/>
      <c r="L192" s="16"/>
      <c r="M192" s="16"/>
      <c r="N192" s="17" t="str">
        <f aca="false">IF(COUNT(K192:M192)=0,"",MAX(K192:M192))</f>
        <v/>
      </c>
      <c r="O192" s="18" t="str">
        <f aca="false">IF(N192="","",IF(N192&gt;=7,"Sin pliometría ni velocidad. Solo isométricos, movilidad y tren superior. Valoración médica",IF(N192&gt;=4,"Sin pliometría el lunes. Sentadilla española 5x45 s","Sesión normal")))</f>
        <v/>
      </c>
      <c r="P192" s="16"/>
      <c r="Q192" s="16"/>
    </row>
    <row r="193" customFormat="false" ht="15" hidden="false" customHeight="false" outlineLevel="0" collapsed="false">
      <c r="A193" s="13" t="n">
        <v>14</v>
      </c>
      <c r="B193" s="14" t="n">
        <v>46363</v>
      </c>
      <c r="C193" s="13" t="s">
        <v>82</v>
      </c>
      <c r="D193" s="13" t="s">
        <v>83</v>
      </c>
      <c r="E193" s="13" t="n">
        <v>7</v>
      </c>
      <c r="F193" s="15" t="str">
        <f aca="false">Jugadores!$B$11</f>
        <v>Jugador 7</v>
      </c>
      <c r="G193" s="16"/>
      <c r="H193" s="16"/>
      <c r="I193" s="16"/>
      <c r="J193" s="17" t="str">
        <f aca="false">IF(COUNT(G193:I193)=0,"",G193*55+H193*50+I193*50)</f>
        <v/>
      </c>
      <c r="K193" s="16"/>
      <c r="L193" s="16"/>
      <c r="M193" s="16"/>
      <c r="N193" s="17" t="str">
        <f aca="false">IF(COUNT(K193:M193)=0,"",MAX(K193:M193))</f>
        <v/>
      </c>
      <c r="O193" s="18" t="str">
        <f aca="false">IF(N193="","",IF(N193&gt;=7,"Sin pliometría ni velocidad. Solo isométricos, movilidad y tren superior. Valoración médica",IF(N193&gt;=4,"Sin pliometría el lunes. Sentadilla española 5x45 s","Sesión normal")))</f>
        <v/>
      </c>
      <c r="P193" s="16"/>
      <c r="Q193" s="16"/>
    </row>
    <row r="194" customFormat="false" ht="15" hidden="false" customHeight="false" outlineLevel="0" collapsed="false">
      <c r="A194" s="13" t="n">
        <v>14</v>
      </c>
      <c r="B194" s="14" t="n">
        <v>46363</v>
      </c>
      <c r="C194" s="13" t="s">
        <v>82</v>
      </c>
      <c r="D194" s="13" t="s">
        <v>83</v>
      </c>
      <c r="E194" s="13" t="n">
        <v>7</v>
      </c>
      <c r="F194" s="15" t="str">
        <f aca="false">Jugadores!$B$12</f>
        <v>Jugador 8</v>
      </c>
      <c r="G194" s="16"/>
      <c r="H194" s="16"/>
      <c r="I194" s="16"/>
      <c r="J194" s="17" t="str">
        <f aca="false">IF(COUNT(G194:I194)=0,"",G194*55+H194*50+I194*50)</f>
        <v/>
      </c>
      <c r="K194" s="16"/>
      <c r="L194" s="16"/>
      <c r="M194" s="16"/>
      <c r="N194" s="17" t="str">
        <f aca="false">IF(COUNT(K194:M194)=0,"",MAX(K194:M194))</f>
        <v/>
      </c>
      <c r="O194" s="18" t="str">
        <f aca="false">IF(N194="","",IF(N194&gt;=7,"Sin pliometría ni velocidad. Solo isométricos, movilidad y tren superior. Valoración médica",IF(N194&gt;=4,"Sin pliometría el lunes. Sentadilla española 5x45 s","Sesión normal")))</f>
        <v/>
      </c>
      <c r="P194" s="16"/>
      <c r="Q194" s="16"/>
    </row>
    <row r="195" customFormat="false" ht="15" hidden="false" customHeight="false" outlineLevel="0" collapsed="false">
      <c r="A195" s="13" t="n">
        <v>14</v>
      </c>
      <c r="B195" s="14" t="n">
        <v>46363</v>
      </c>
      <c r="C195" s="13" t="s">
        <v>82</v>
      </c>
      <c r="D195" s="13" t="s">
        <v>83</v>
      </c>
      <c r="E195" s="13" t="n">
        <v>7</v>
      </c>
      <c r="F195" s="15" t="str">
        <f aca="false">Jugadores!$B$13</f>
        <v>Jugador 9</v>
      </c>
      <c r="G195" s="16"/>
      <c r="H195" s="16"/>
      <c r="I195" s="16"/>
      <c r="J195" s="17" t="str">
        <f aca="false">IF(COUNT(G195:I195)=0,"",G195*55+H195*50+I195*50)</f>
        <v/>
      </c>
      <c r="K195" s="16"/>
      <c r="L195" s="16"/>
      <c r="M195" s="16"/>
      <c r="N195" s="17" t="str">
        <f aca="false">IF(COUNT(K195:M195)=0,"",MAX(K195:M195))</f>
        <v/>
      </c>
      <c r="O195" s="18" t="str">
        <f aca="false">IF(N195="","",IF(N195&gt;=7,"Sin pliometría ni velocidad. Solo isométricos, movilidad y tren superior. Valoración médica",IF(N195&gt;=4,"Sin pliometría el lunes. Sentadilla española 5x45 s","Sesión normal")))</f>
        <v/>
      </c>
      <c r="P195" s="16"/>
      <c r="Q195" s="16"/>
    </row>
    <row r="196" customFormat="false" ht="15" hidden="false" customHeight="false" outlineLevel="0" collapsed="false">
      <c r="A196" s="13" t="n">
        <v>14</v>
      </c>
      <c r="B196" s="14" t="n">
        <v>46363</v>
      </c>
      <c r="C196" s="13" t="s">
        <v>82</v>
      </c>
      <c r="D196" s="13" t="s">
        <v>83</v>
      </c>
      <c r="E196" s="13" t="n">
        <v>7</v>
      </c>
      <c r="F196" s="15" t="str">
        <f aca="false">Jugadores!$B$14</f>
        <v>Jugador 10</v>
      </c>
      <c r="G196" s="16"/>
      <c r="H196" s="16"/>
      <c r="I196" s="16"/>
      <c r="J196" s="17" t="str">
        <f aca="false">IF(COUNT(G196:I196)=0,"",G196*55+H196*50+I196*50)</f>
        <v/>
      </c>
      <c r="K196" s="16"/>
      <c r="L196" s="16"/>
      <c r="M196" s="16"/>
      <c r="N196" s="17" t="str">
        <f aca="false">IF(COUNT(K196:M196)=0,"",MAX(K196:M196))</f>
        <v/>
      </c>
      <c r="O196" s="18" t="str">
        <f aca="false">IF(N196="","",IF(N196&gt;=7,"Sin pliometría ni velocidad. Solo isométricos, movilidad y tren superior. Valoración médica",IF(N196&gt;=4,"Sin pliometría el lunes. Sentadilla española 5x45 s","Sesión normal")))</f>
        <v/>
      </c>
      <c r="P196" s="16"/>
      <c r="Q196" s="16"/>
    </row>
    <row r="197" customFormat="false" ht="15" hidden="false" customHeight="false" outlineLevel="0" collapsed="false">
      <c r="A197" s="13" t="n">
        <v>14</v>
      </c>
      <c r="B197" s="14" t="n">
        <v>46363</v>
      </c>
      <c r="C197" s="13" t="s">
        <v>82</v>
      </c>
      <c r="D197" s="13" t="s">
        <v>83</v>
      </c>
      <c r="E197" s="13" t="n">
        <v>7</v>
      </c>
      <c r="F197" s="15" t="str">
        <f aca="false">Jugadores!$B$15</f>
        <v>Jugador 11</v>
      </c>
      <c r="G197" s="16"/>
      <c r="H197" s="16"/>
      <c r="I197" s="16"/>
      <c r="J197" s="17" t="str">
        <f aca="false">IF(COUNT(G197:I197)=0,"",G197*55+H197*50+I197*50)</f>
        <v/>
      </c>
      <c r="K197" s="16"/>
      <c r="L197" s="16"/>
      <c r="M197" s="16"/>
      <c r="N197" s="17" t="str">
        <f aca="false">IF(COUNT(K197:M197)=0,"",MAX(K197:M197))</f>
        <v/>
      </c>
      <c r="O197" s="18" t="str">
        <f aca="false">IF(N197="","",IF(N197&gt;=7,"Sin pliometría ni velocidad. Solo isométricos, movilidad y tren superior. Valoración médica",IF(N197&gt;=4,"Sin pliometría el lunes. Sentadilla española 5x45 s","Sesión normal")))</f>
        <v/>
      </c>
      <c r="P197" s="16"/>
      <c r="Q197" s="16"/>
    </row>
    <row r="198" customFormat="false" ht="15" hidden="false" customHeight="false" outlineLevel="0" collapsed="false">
      <c r="A198" s="13" t="n">
        <v>14</v>
      </c>
      <c r="B198" s="14" t="n">
        <v>46363</v>
      </c>
      <c r="C198" s="13" t="s">
        <v>82</v>
      </c>
      <c r="D198" s="13" t="s">
        <v>83</v>
      </c>
      <c r="E198" s="13" t="n">
        <v>7</v>
      </c>
      <c r="F198" s="15" t="str">
        <f aca="false">Jugadores!$B$16</f>
        <v>Jugador 12</v>
      </c>
      <c r="G198" s="16"/>
      <c r="H198" s="16"/>
      <c r="I198" s="16"/>
      <c r="J198" s="17" t="str">
        <f aca="false">IF(COUNT(G198:I198)=0,"",G198*55+H198*50+I198*50)</f>
        <v/>
      </c>
      <c r="K198" s="16"/>
      <c r="L198" s="16"/>
      <c r="M198" s="16"/>
      <c r="N198" s="17" t="str">
        <f aca="false">IF(COUNT(K198:M198)=0,"",MAX(K198:M198))</f>
        <v/>
      </c>
      <c r="O198" s="18" t="str">
        <f aca="false">IF(N198="","",IF(N198&gt;=7,"Sin pliometría ni velocidad. Solo isométricos, movilidad y tren superior. Valoración médica",IF(N198&gt;=4,"Sin pliometría el lunes. Sentadilla española 5x45 s","Sesión normal")))</f>
        <v/>
      </c>
      <c r="P198" s="16"/>
      <c r="Q198" s="16"/>
    </row>
    <row r="199" customFormat="false" ht="15" hidden="false" customHeight="false" outlineLevel="0" collapsed="false">
      <c r="A199" s="13" t="n">
        <v>14</v>
      </c>
      <c r="B199" s="14" t="n">
        <v>46363</v>
      </c>
      <c r="C199" s="13" t="s">
        <v>82</v>
      </c>
      <c r="D199" s="13" t="s">
        <v>83</v>
      </c>
      <c r="E199" s="13" t="n">
        <v>7</v>
      </c>
      <c r="F199" s="15" t="str">
        <f aca="false">Jugadores!$B$17</f>
        <v>Jugador 13</v>
      </c>
      <c r="G199" s="16"/>
      <c r="H199" s="16"/>
      <c r="I199" s="16"/>
      <c r="J199" s="17" t="str">
        <f aca="false">IF(COUNT(G199:I199)=0,"",G199*55+H199*50+I199*50)</f>
        <v/>
      </c>
      <c r="K199" s="16"/>
      <c r="L199" s="16"/>
      <c r="M199" s="16"/>
      <c r="N199" s="17" t="str">
        <f aca="false">IF(COUNT(K199:M199)=0,"",MAX(K199:M199))</f>
        <v/>
      </c>
      <c r="O199" s="18" t="str">
        <f aca="false">IF(N199="","",IF(N199&gt;=7,"Sin pliometría ni velocidad. Solo isométricos, movilidad y tren superior. Valoración médica",IF(N199&gt;=4,"Sin pliometría el lunes. Sentadilla española 5x45 s","Sesión normal")))</f>
        <v/>
      </c>
      <c r="P199" s="16"/>
      <c r="Q199" s="16"/>
    </row>
    <row r="200" customFormat="false" ht="15" hidden="false" customHeight="false" outlineLevel="0" collapsed="false">
      <c r="A200" s="13" t="n">
        <v>14</v>
      </c>
      <c r="B200" s="14" t="n">
        <v>46363</v>
      </c>
      <c r="C200" s="13" t="s">
        <v>82</v>
      </c>
      <c r="D200" s="13" t="s">
        <v>83</v>
      </c>
      <c r="E200" s="13" t="n">
        <v>7</v>
      </c>
      <c r="F200" s="15" t="str">
        <f aca="false">Jugadores!$B$18</f>
        <v>Jugador 14</v>
      </c>
      <c r="G200" s="16"/>
      <c r="H200" s="16"/>
      <c r="I200" s="16"/>
      <c r="J200" s="17" t="str">
        <f aca="false">IF(COUNT(G200:I200)=0,"",G200*55+H200*50+I200*50)</f>
        <v/>
      </c>
      <c r="K200" s="16"/>
      <c r="L200" s="16"/>
      <c r="M200" s="16"/>
      <c r="N200" s="17" t="str">
        <f aca="false">IF(COUNT(K200:M200)=0,"",MAX(K200:M200))</f>
        <v/>
      </c>
      <c r="O200" s="18" t="str">
        <f aca="false">IF(N200="","",IF(N200&gt;=7,"Sin pliometría ni velocidad. Solo isométricos, movilidad y tren superior. Valoración médica",IF(N200&gt;=4,"Sin pliometría el lunes. Sentadilla española 5x45 s","Sesión normal")))</f>
        <v/>
      </c>
      <c r="P200" s="16"/>
      <c r="Q200" s="16"/>
    </row>
    <row r="201" customFormat="false" ht="15" hidden="false" customHeight="false" outlineLevel="0" collapsed="false">
      <c r="A201" s="13" t="n">
        <v>15</v>
      </c>
      <c r="B201" s="14" t="n">
        <v>46370</v>
      </c>
      <c r="C201" s="13" t="s">
        <v>82</v>
      </c>
      <c r="D201" s="13" t="s">
        <v>84</v>
      </c>
      <c r="E201" s="13" t="n">
        <v>6</v>
      </c>
      <c r="F201" s="15" t="str">
        <f aca="false">Jugadores!$B$5</f>
        <v>Jugador 1</v>
      </c>
      <c r="G201" s="16"/>
      <c r="H201" s="16"/>
      <c r="I201" s="16"/>
      <c r="J201" s="17" t="str">
        <f aca="false">IF(COUNT(G201:I201)=0,"",G201*55+H201*50+I201*50)</f>
        <v/>
      </c>
      <c r="K201" s="16"/>
      <c r="L201" s="16"/>
      <c r="M201" s="16"/>
      <c r="N201" s="17" t="str">
        <f aca="false">IF(COUNT(K201:M201)=0,"",MAX(K201:M201))</f>
        <v/>
      </c>
      <c r="O201" s="18" t="str">
        <f aca="false">IF(N201="","",IF(N201&gt;=7,"Sin pliometría ni velocidad. Solo isométricos, movilidad y tren superior. Valoración médica",IF(N201&gt;=4,"Sin pliometría el lunes. Sentadilla española 5x45 s","Sesión normal")))</f>
        <v/>
      </c>
      <c r="P201" s="16"/>
      <c r="Q201" s="16"/>
    </row>
    <row r="202" customFormat="false" ht="15" hidden="false" customHeight="false" outlineLevel="0" collapsed="false">
      <c r="A202" s="13" t="n">
        <v>15</v>
      </c>
      <c r="B202" s="14" t="n">
        <v>46370</v>
      </c>
      <c r="C202" s="13" t="s">
        <v>82</v>
      </c>
      <c r="D202" s="13" t="s">
        <v>84</v>
      </c>
      <c r="E202" s="13" t="n">
        <v>6</v>
      </c>
      <c r="F202" s="15" t="str">
        <f aca="false">Jugadores!$B$6</f>
        <v>Jugador 2</v>
      </c>
      <c r="G202" s="16"/>
      <c r="H202" s="16"/>
      <c r="I202" s="16"/>
      <c r="J202" s="17" t="str">
        <f aca="false">IF(COUNT(G202:I202)=0,"",G202*55+H202*50+I202*50)</f>
        <v/>
      </c>
      <c r="K202" s="16"/>
      <c r="L202" s="16"/>
      <c r="M202" s="16"/>
      <c r="N202" s="17" t="str">
        <f aca="false">IF(COUNT(K202:M202)=0,"",MAX(K202:M202))</f>
        <v/>
      </c>
      <c r="O202" s="18" t="str">
        <f aca="false">IF(N202="","",IF(N202&gt;=7,"Sin pliometría ni velocidad. Solo isométricos, movilidad y tren superior. Valoración médica",IF(N202&gt;=4,"Sin pliometría el lunes. Sentadilla española 5x45 s","Sesión normal")))</f>
        <v/>
      </c>
      <c r="P202" s="16"/>
      <c r="Q202" s="16"/>
    </row>
    <row r="203" customFormat="false" ht="15" hidden="false" customHeight="false" outlineLevel="0" collapsed="false">
      <c r="A203" s="13" t="n">
        <v>15</v>
      </c>
      <c r="B203" s="14" t="n">
        <v>46370</v>
      </c>
      <c r="C203" s="13" t="s">
        <v>82</v>
      </c>
      <c r="D203" s="13" t="s">
        <v>84</v>
      </c>
      <c r="E203" s="13" t="n">
        <v>6</v>
      </c>
      <c r="F203" s="15" t="str">
        <f aca="false">Jugadores!$B$7</f>
        <v>Jugador 3</v>
      </c>
      <c r="G203" s="16"/>
      <c r="H203" s="16"/>
      <c r="I203" s="16"/>
      <c r="J203" s="17" t="str">
        <f aca="false">IF(COUNT(G203:I203)=0,"",G203*55+H203*50+I203*50)</f>
        <v/>
      </c>
      <c r="K203" s="16"/>
      <c r="L203" s="16"/>
      <c r="M203" s="16"/>
      <c r="N203" s="17" t="str">
        <f aca="false">IF(COUNT(K203:M203)=0,"",MAX(K203:M203))</f>
        <v/>
      </c>
      <c r="O203" s="18" t="str">
        <f aca="false">IF(N203="","",IF(N203&gt;=7,"Sin pliometría ni velocidad. Solo isométricos, movilidad y tren superior. Valoración médica",IF(N203&gt;=4,"Sin pliometría el lunes. Sentadilla española 5x45 s","Sesión normal")))</f>
        <v/>
      </c>
      <c r="P203" s="16"/>
      <c r="Q203" s="16"/>
    </row>
    <row r="204" customFormat="false" ht="15" hidden="false" customHeight="false" outlineLevel="0" collapsed="false">
      <c r="A204" s="13" t="n">
        <v>15</v>
      </c>
      <c r="B204" s="14" t="n">
        <v>46370</v>
      </c>
      <c r="C204" s="13" t="s">
        <v>82</v>
      </c>
      <c r="D204" s="13" t="s">
        <v>84</v>
      </c>
      <c r="E204" s="13" t="n">
        <v>6</v>
      </c>
      <c r="F204" s="15" t="str">
        <f aca="false">Jugadores!$B$8</f>
        <v>Jugador 4</v>
      </c>
      <c r="G204" s="16"/>
      <c r="H204" s="16"/>
      <c r="I204" s="16"/>
      <c r="J204" s="17" t="str">
        <f aca="false">IF(COUNT(G204:I204)=0,"",G204*55+H204*50+I204*50)</f>
        <v/>
      </c>
      <c r="K204" s="16"/>
      <c r="L204" s="16"/>
      <c r="M204" s="16"/>
      <c r="N204" s="17" t="str">
        <f aca="false">IF(COUNT(K204:M204)=0,"",MAX(K204:M204))</f>
        <v/>
      </c>
      <c r="O204" s="18" t="str">
        <f aca="false">IF(N204="","",IF(N204&gt;=7,"Sin pliometría ni velocidad. Solo isométricos, movilidad y tren superior. Valoración médica",IF(N204&gt;=4,"Sin pliometría el lunes. Sentadilla española 5x45 s","Sesión normal")))</f>
        <v/>
      </c>
      <c r="P204" s="16"/>
      <c r="Q204" s="16"/>
    </row>
    <row r="205" customFormat="false" ht="15" hidden="false" customHeight="false" outlineLevel="0" collapsed="false">
      <c r="A205" s="13" t="n">
        <v>15</v>
      </c>
      <c r="B205" s="14" t="n">
        <v>46370</v>
      </c>
      <c r="C205" s="13" t="s">
        <v>82</v>
      </c>
      <c r="D205" s="13" t="s">
        <v>84</v>
      </c>
      <c r="E205" s="13" t="n">
        <v>6</v>
      </c>
      <c r="F205" s="15" t="str">
        <f aca="false">Jugadores!$B$9</f>
        <v>Jugador 5</v>
      </c>
      <c r="G205" s="16"/>
      <c r="H205" s="16"/>
      <c r="I205" s="16"/>
      <c r="J205" s="17" t="str">
        <f aca="false">IF(COUNT(G205:I205)=0,"",G205*55+H205*50+I205*50)</f>
        <v/>
      </c>
      <c r="K205" s="16"/>
      <c r="L205" s="16"/>
      <c r="M205" s="16"/>
      <c r="N205" s="17" t="str">
        <f aca="false">IF(COUNT(K205:M205)=0,"",MAX(K205:M205))</f>
        <v/>
      </c>
      <c r="O205" s="18" t="str">
        <f aca="false">IF(N205="","",IF(N205&gt;=7,"Sin pliometría ni velocidad. Solo isométricos, movilidad y tren superior. Valoración médica",IF(N205&gt;=4,"Sin pliometría el lunes. Sentadilla española 5x45 s","Sesión normal")))</f>
        <v/>
      </c>
      <c r="P205" s="16"/>
      <c r="Q205" s="16"/>
    </row>
    <row r="206" customFormat="false" ht="15" hidden="false" customHeight="false" outlineLevel="0" collapsed="false">
      <c r="A206" s="13" t="n">
        <v>15</v>
      </c>
      <c r="B206" s="14" t="n">
        <v>46370</v>
      </c>
      <c r="C206" s="13" t="s">
        <v>82</v>
      </c>
      <c r="D206" s="13" t="s">
        <v>84</v>
      </c>
      <c r="E206" s="13" t="n">
        <v>6</v>
      </c>
      <c r="F206" s="15" t="str">
        <f aca="false">Jugadores!$B$10</f>
        <v>Jugador 6</v>
      </c>
      <c r="G206" s="16"/>
      <c r="H206" s="16"/>
      <c r="I206" s="16"/>
      <c r="J206" s="17" t="str">
        <f aca="false">IF(COUNT(G206:I206)=0,"",G206*55+H206*50+I206*50)</f>
        <v/>
      </c>
      <c r="K206" s="16"/>
      <c r="L206" s="16"/>
      <c r="M206" s="16"/>
      <c r="N206" s="17" t="str">
        <f aca="false">IF(COUNT(K206:M206)=0,"",MAX(K206:M206))</f>
        <v/>
      </c>
      <c r="O206" s="18" t="str">
        <f aca="false">IF(N206="","",IF(N206&gt;=7,"Sin pliometría ni velocidad. Solo isométricos, movilidad y tren superior. Valoración médica",IF(N206&gt;=4,"Sin pliometría el lunes. Sentadilla española 5x45 s","Sesión normal")))</f>
        <v/>
      </c>
      <c r="P206" s="16"/>
      <c r="Q206" s="16"/>
    </row>
    <row r="207" customFormat="false" ht="15" hidden="false" customHeight="false" outlineLevel="0" collapsed="false">
      <c r="A207" s="13" t="n">
        <v>15</v>
      </c>
      <c r="B207" s="14" t="n">
        <v>46370</v>
      </c>
      <c r="C207" s="13" t="s">
        <v>82</v>
      </c>
      <c r="D207" s="13" t="s">
        <v>84</v>
      </c>
      <c r="E207" s="13" t="n">
        <v>6</v>
      </c>
      <c r="F207" s="15" t="str">
        <f aca="false">Jugadores!$B$11</f>
        <v>Jugador 7</v>
      </c>
      <c r="G207" s="16"/>
      <c r="H207" s="16"/>
      <c r="I207" s="16"/>
      <c r="J207" s="17" t="str">
        <f aca="false">IF(COUNT(G207:I207)=0,"",G207*55+H207*50+I207*50)</f>
        <v/>
      </c>
      <c r="K207" s="16"/>
      <c r="L207" s="16"/>
      <c r="M207" s="16"/>
      <c r="N207" s="17" t="str">
        <f aca="false">IF(COUNT(K207:M207)=0,"",MAX(K207:M207))</f>
        <v/>
      </c>
      <c r="O207" s="18" t="str">
        <f aca="false">IF(N207="","",IF(N207&gt;=7,"Sin pliometría ni velocidad. Solo isométricos, movilidad y tren superior. Valoración médica",IF(N207&gt;=4,"Sin pliometría el lunes. Sentadilla española 5x45 s","Sesión normal")))</f>
        <v/>
      </c>
      <c r="P207" s="16"/>
      <c r="Q207" s="16"/>
    </row>
    <row r="208" customFormat="false" ht="15" hidden="false" customHeight="false" outlineLevel="0" collapsed="false">
      <c r="A208" s="13" t="n">
        <v>15</v>
      </c>
      <c r="B208" s="14" t="n">
        <v>46370</v>
      </c>
      <c r="C208" s="13" t="s">
        <v>82</v>
      </c>
      <c r="D208" s="13" t="s">
        <v>84</v>
      </c>
      <c r="E208" s="13" t="n">
        <v>6</v>
      </c>
      <c r="F208" s="15" t="str">
        <f aca="false">Jugadores!$B$12</f>
        <v>Jugador 8</v>
      </c>
      <c r="G208" s="16"/>
      <c r="H208" s="16"/>
      <c r="I208" s="16"/>
      <c r="J208" s="17" t="str">
        <f aca="false">IF(COUNT(G208:I208)=0,"",G208*55+H208*50+I208*50)</f>
        <v/>
      </c>
      <c r="K208" s="16"/>
      <c r="L208" s="16"/>
      <c r="M208" s="16"/>
      <c r="N208" s="17" t="str">
        <f aca="false">IF(COUNT(K208:M208)=0,"",MAX(K208:M208))</f>
        <v/>
      </c>
      <c r="O208" s="18" t="str">
        <f aca="false">IF(N208="","",IF(N208&gt;=7,"Sin pliometría ni velocidad. Solo isométricos, movilidad y tren superior. Valoración médica",IF(N208&gt;=4,"Sin pliometría el lunes. Sentadilla española 5x45 s","Sesión normal")))</f>
        <v/>
      </c>
      <c r="P208" s="16"/>
      <c r="Q208" s="16"/>
    </row>
    <row r="209" customFormat="false" ht="15" hidden="false" customHeight="false" outlineLevel="0" collapsed="false">
      <c r="A209" s="13" t="n">
        <v>15</v>
      </c>
      <c r="B209" s="14" t="n">
        <v>46370</v>
      </c>
      <c r="C209" s="13" t="s">
        <v>82</v>
      </c>
      <c r="D209" s="13" t="s">
        <v>84</v>
      </c>
      <c r="E209" s="13" t="n">
        <v>6</v>
      </c>
      <c r="F209" s="15" t="str">
        <f aca="false">Jugadores!$B$13</f>
        <v>Jugador 9</v>
      </c>
      <c r="G209" s="16"/>
      <c r="H209" s="16"/>
      <c r="I209" s="16"/>
      <c r="J209" s="17" t="str">
        <f aca="false">IF(COUNT(G209:I209)=0,"",G209*55+H209*50+I209*50)</f>
        <v/>
      </c>
      <c r="K209" s="16"/>
      <c r="L209" s="16"/>
      <c r="M209" s="16"/>
      <c r="N209" s="17" t="str">
        <f aca="false">IF(COUNT(K209:M209)=0,"",MAX(K209:M209))</f>
        <v/>
      </c>
      <c r="O209" s="18" t="str">
        <f aca="false">IF(N209="","",IF(N209&gt;=7,"Sin pliometría ni velocidad. Solo isométricos, movilidad y tren superior. Valoración médica",IF(N209&gt;=4,"Sin pliometría el lunes. Sentadilla española 5x45 s","Sesión normal")))</f>
        <v/>
      </c>
      <c r="P209" s="16"/>
      <c r="Q209" s="16"/>
    </row>
    <row r="210" customFormat="false" ht="15" hidden="false" customHeight="false" outlineLevel="0" collapsed="false">
      <c r="A210" s="13" t="n">
        <v>15</v>
      </c>
      <c r="B210" s="14" t="n">
        <v>46370</v>
      </c>
      <c r="C210" s="13" t="s">
        <v>82</v>
      </c>
      <c r="D210" s="13" t="s">
        <v>84</v>
      </c>
      <c r="E210" s="13" t="n">
        <v>6</v>
      </c>
      <c r="F210" s="15" t="str">
        <f aca="false">Jugadores!$B$14</f>
        <v>Jugador 10</v>
      </c>
      <c r="G210" s="16"/>
      <c r="H210" s="16"/>
      <c r="I210" s="16"/>
      <c r="J210" s="17" t="str">
        <f aca="false">IF(COUNT(G210:I210)=0,"",G210*55+H210*50+I210*50)</f>
        <v/>
      </c>
      <c r="K210" s="16"/>
      <c r="L210" s="16"/>
      <c r="M210" s="16"/>
      <c r="N210" s="17" t="str">
        <f aca="false">IF(COUNT(K210:M210)=0,"",MAX(K210:M210))</f>
        <v/>
      </c>
      <c r="O210" s="18" t="str">
        <f aca="false">IF(N210="","",IF(N210&gt;=7,"Sin pliometría ni velocidad. Solo isométricos, movilidad y tren superior. Valoración médica",IF(N210&gt;=4,"Sin pliometría el lunes. Sentadilla española 5x45 s","Sesión normal")))</f>
        <v/>
      </c>
      <c r="P210" s="16"/>
      <c r="Q210" s="16"/>
    </row>
    <row r="211" customFormat="false" ht="15" hidden="false" customHeight="false" outlineLevel="0" collapsed="false">
      <c r="A211" s="13" t="n">
        <v>15</v>
      </c>
      <c r="B211" s="14" t="n">
        <v>46370</v>
      </c>
      <c r="C211" s="13" t="s">
        <v>82</v>
      </c>
      <c r="D211" s="13" t="s">
        <v>84</v>
      </c>
      <c r="E211" s="13" t="n">
        <v>6</v>
      </c>
      <c r="F211" s="15" t="str">
        <f aca="false">Jugadores!$B$15</f>
        <v>Jugador 11</v>
      </c>
      <c r="G211" s="16"/>
      <c r="H211" s="16"/>
      <c r="I211" s="16"/>
      <c r="J211" s="17" t="str">
        <f aca="false">IF(COUNT(G211:I211)=0,"",G211*55+H211*50+I211*50)</f>
        <v/>
      </c>
      <c r="K211" s="16"/>
      <c r="L211" s="16"/>
      <c r="M211" s="16"/>
      <c r="N211" s="17" t="str">
        <f aca="false">IF(COUNT(K211:M211)=0,"",MAX(K211:M211))</f>
        <v/>
      </c>
      <c r="O211" s="18" t="str">
        <f aca="false">IF(N211="","",IF(N211&gt;=7,"Sin pliometría ni velocidad. Solo isométricos, movilidad y tren superior. Valoración médica",IF(N211&gt;=4,"Sin pliometría el lunes. Sentadilla española 5x45 s","Sesión normal")))</f>
        <v/>
      </c>
      <c r="P211" s="16"/>
      <c r="Q211" s="16"/>
    </row>
    <row r="212" customFormat="false" ht="15" hidden="false" customHeight="false" outlineLevel="0" collapsed="false">
      <c r="A212" s="13" t="n">
        <v>15</v>
      </c>
      <c r="B212" s="14" t="n">
        <v>46370</v>
      </c>
      <c r="C212" s="13" t="s">
        <v>82</v>
      </c>
      <c r="D212" s="13" t="s">
        <v>84</v>
      </c>
      <c r="E212" s="13" t="n">
        <v>6</v>
      </c>
      <c r="F212" s="15" t="str">
        <f aca="false">Jugadores!$B$16</f>
        <v>Jugador 12</v>
      </c>
      <c r="G212" s="16"/>
      <c r="H212" s="16"/>
      <c r="I212" s="16"/>
      <c r="J212" s="17" t="str">
        <f aca="false">IF(COUNT(G212:I212)=0,"",G212*55+H212*50+I212*50)</f>
        <v/>
      </c>
      <c r="K212" s="16"/>
      <c r="L212" s="16"/>
      <c r="M212" s="16"/>
      <c r="N212" s="17" t="str">
        <f aca="false">IF(COUNT(K212:M212)=0,"",MAX(K212:M212))</f>
        <v/>
      </c>
      <c r="O212" s="18" t="str">
        <f aca="false">IF(N212="","",IF(N212&gt;=7,"Sin pliometría ni velocidad. Solo isométricos, movilidad y tren superior. Valoración médica",IF(N212&gt;=4,"Sin pliometría el lunes. Sentadilla española 5x45 s","Sesión normal")))</f>
        <v/>
      </c>
      <c r="P212" s="16"/>
      <c r="Q212" s="16"/>
    </row>
    <row r="213" customFormat="false" ht="15" hidden="false" customHeight="false" outlineLevel="0" collapsed="false">
      <c r="A213" s="13" t="n">
        <v>15</v>
      </c>
      <c r="B213" s="14" t="n">
        <v>46370</v>
      </c>
      <c r="C213" s="13" t="s">
        <v>82</v>
      </c>
      <c r="D213" s="13" t="s">
        <v>84</v>
      </c>
      <c r="E213" s="13" t="n">
        <v>6</v>
      </c>
      <c r="F213" s="15" t="str">
        <f aca="false">Jugadores!$B$17</f>
        <v>Jugador 13</v>
      </c>
      <c r="G213" s="16"/>
      <c r="H213" s="16"/>
      <c r="I213" s="16"/>
      <c r="J213" s="17" t="str">
        <f aca="false">IF(COUNT(G213:I213)=0,"",G213*55+H213*50+I213*50)</f>
        <v/>
      </c>
      <c r="K213" s="16"/>
      <c r="L213" s="16"/>
      <c r="M213" s="16"/>
      <c r="N213" s="17" t="str">
        <f aca="false">IF(COUNT(K213:M213)=0,"",MAX(K213:M213))</f>
        <v/>
      </c>
      <c r="O213" s="18" t="str">
        <f aca="false">IF(N213="","",IF(N213&gt;=7,"Sin pliometría ni velocidad. Solo isométricos, movilidad y tren superior. Valoración médica",IF(N213&gt;=4,"Sin pliometría el lunes. Sentadilla española 5x45 s","Sesión normal")))</f>
        <v/>
      </c>
      <c r="P213" s="16"/>
      <c r="Q213" s="16"/>
    </row>
    <row r="214" customFormat="false" ht="15" hidden="false" customHeight="false" outlineLevel="0" collapsed="false">
      <c r="A214" s="13" t="n">
        <v>15</v>
      </c>
      <c r="B214" s="14" t="n">
        <v>46370</v>
      </c>
      <c r="C214" s="13" t="s">
        <v>82</v>
      </c>
      <c r="D214" s="13" t="s">
        <v>84</v>
      </c>
      <c r="E214" s="13" t="n">
        <v>6</v>
      </c>
      <c r="F214" s="15" t="str">
        <f aca="false">Jugadores!$B$18</f>
        <v>Jugador 14</v>
      </c>
      <c r="G214" s="16"/>
      <c r="H214" s="16"/>
      <c r="I214" s="16"/>
      <c r="J214" s="17" t="str">
        <f aca="false">IF(COUNT(G214:I214)=0,"",G214*55+H214*50+I214*50)</f>
        <v/>
      </c>
      <c r="K214" s="16"/>
      <c r="L214" s="16"/>
      <c r="M214" s="16"/>
      <c r="N214" s="17" t="str">
        <f aca="false">IF(COUNT(K214:M214)=0,"",MAX(K214:M214))</f>
        <v/>
      </c>
      <c r="O214" s="18" t="str">
        <f aca="false">IF(N214="","",IF(N214&gt;=7,"Sin pliometría ni velocidad. Solo isométricos, movilidad y tren superior. Valoración médica",IF(N214&gt;=4,"Sin pliometría el lunes. Sentadilla española 5x45 s","Sesión normal")))</f>
        <v/>
      </c>
      <c r="P214" s="16"/>
      <c r="Q214" s="16"/>
    </row>
    <row r="215" customFormat="false" ht="15" hidden="false" customHeight="false" outlineLevel="0" collapsed="false">
      <c r="A215" s="13" t="n">
        <v>16</v>
      </c>
      <c r="B215" s="14" t="n">
        <v>46377</v>
      </c>
      <c r="C215" s="13" t="s">
        <v>85</v>
      </c>
      <c r="D215" s="13" t="s">
        <v>71</v>
      </c>
      <c r="E215" s="13" t="n">
        <v>5</v>
      </c>
      <c r="F215" s="15" t="str">
        <f aca="false">Jugadores!$B$5</f>
        <v>Jugador 1</v>
      </c>
      <c r="G215" s="16"/>
      <c r="H215" s="16"/>
      <c r="I215" s="16"/>
      <c r="J215" s="17" t="str">
        <f aca="false">IF(COUNT(G215:I215)=0,"",G215*55+H215*50+I215*50)</f>
        <v/>
      </c>
      <c r="K215" s="16"/>
      <c r="L215" s="16"/>
      <c r="M215" s="16"/>
      <c r="N215" s="17" t="str">
        <f aca="false">IF(COUNT(K215:M215)=0,"",MAX(K215:M215))</f>
        <v/>
      </c>
      <c r="O215" s="18" t="str">
        <f aca="false">IF(N215="","",IF(N215&gt;=7,"Sin pliometría ni velocidad. Solo isométricos, movilidad y tren superior. Valoración médica",IF(N215&gt;=4,"Sin pliometría el lunes. Sentadilla española 5x45 s","Sesión normal")))</f>
        <v/>
      </c>
      <c r="P215" s="16"/>
      <c r="Q215" s="16"/>
    </row>
    <row r="216" customFormat="false" ht="15" hidden="false" customHeight="false" outlineLevel="0" collapsed="false">
      <c r="A216" s="13" t="n">
        <v>16</v>
      </c>
      <c r="B216" s="14" t="n">
        <v>46377</v>
      </c>
      <c r="C216" s="13" t="s">
        <v>85</v>
      </c>
      <c r="D216" s="13" t="s">
        <v>71</v>
      </c>
      <c r="E216" s="13" t="n">
        <v>5</v>
      </c>
      <c r="F216" s="15" t="str">
        <f aca="false">Jugadores!$B$6</f>
        <v>Jugador 2</v>
      </c>
      <c r="G216" s="16"/>
      <c r="H216" s="16"/>
      <c r="I216" s="16"/>
      <c r="J216" s="17" t="str">
        <f aca="false">IF(COUNT(G216:I216)=0,"",G216*55+H216*50+I216*50)</f>
        <v/>
      </c>
      <c r="K216" s="16"/>
      <c r="L216" s="16"/>
      <c r="M216" s="16"/>
      <c r="N216" s="17" t="str">
        <f aca="false">IF(COUNT(K216:M216)=0,"",MAX(K216:M216))</f>
        <v/>
      </c>
      <c r="O216" s="18" t="str">
        <f aca="false">IF(N216="","",IF(N216&gt;=7,"Sin pliometría ni velocidad. Solo isométricos, movilidad y tren superior. Valoración médica",IF(N216&gt;=4,"Sin pliometría el lunes. Sentadilla española 5x45 s","Sesión normal")))</f>
        <v/>
      </c>
      <c r="P216" s="16"/>
      <c r="Q216" s="16"/>
    </row>
    <row r="217" customFormat="false" ht="15" hidden="false" customHeight="false" outlineLevel="0" collapsed="false">
      <c r="A217" s="13" t="n">
        <v>16</v>
      </c>
      <c r="B217" s="14" t="n">
        <v>46377</v>
      </c>
      <c r="C217" s="13" t="s">
        <v>85</v>
      </c>
      <c r="D217" s="13" t="s">
        <v>71</v>
      </c>
      <c r="E217" s="13" t="n">
        <v>5</v>
      </c>
      <c r="F217" s="15" t="str">
        <f aca="false">Jugadores!$B$7</f>
        <v>Jugador 3</v>
      </c>
      <c r="G217" s="16"/>
      <c r="H217" s="16"/>
      <c r="I217" s="16"/>
      <c r="J217" s="17" t="str">
        <f aca="false">IF(COUNT(G217:I217)=0,"",G217*55+H217*50+I217*50)</f>
        <v/>
      </c>
      <c r="K217" s="16"/>
      <c r="L217" s="16"/>
      <c r="M217" s="16"/>
      <c r="N217" s="17" t="str">
        <f aca="false">IF(COUNT(K217:M217)=0,"",MAX(K217:M217))</f>
        <v/>
      </c>
      <c r="O217" s="18" t="str">
        <f aca="false">IF(N217="","",IF(N217&gt;=7,"Sin pliometría ni velocidad. Solo isométricos, movilidad y tren superior. Valoración médica",IF(N217&gt;=4,"Sin pliometría el lunes. Sentadilla española 5x45 s","Sesión normal")))</f>
        <v/>
      </c>
      <c r="P217" s="16"/>
      <c r="Q217" s="16"/>
    </row>
    <row r="218" customFormat="false" ht="15" hidden="false" customHeight="false" outlineLevel="0" collapsed="false">
      <c r="A218" s="13" t="n">
        <v>16</v>
      </c>
      <c r="B218" s="14" t="n">
        <v>46377</v>
      </c>
      <c r="C218" s="13" t="s">
        <v>85</v>
      </c>
      <c r="D218" s="13" t="s">
        <v>71</v>
      </c>
      <c r="E218" s="13" t="n">
        <v>5</v>
      </c>
      <c r="F218" s="15" t="str">
        <f aca="false">Jugadores!$B$8</f>
        <v>Jugador 4</v>
      </c>
      <c r="G218" s="16"/>
      <c r="H218" s="16"/>
      <c r="I218" s="16"/>
      <c r="J218" s="17" t="str">
        <f aca="false">IF(COUNT(G218:I218)=0,"",G218*55+H218*50+I218*50)</f>
        <v/>
      </c>
      <c r="K218" s="16"/>
      <c r="L218" s="16"/>
      <c r="M218" s="16"/>
      <c r="N218" s="17" t="str">
        <f aca="false">IF(COUNT(K218:M218)=0,"",MAX(K218:M218))</f>
        <v/>
      </c>
      <c r="O218" s="18" t="str">
        <f aca="false">IF(N218="","",IF(N218&gt;=7,"Sin pliometría ni velocidad. Solo isométricos, movilidad y tren superior. Valoración médica",IF(N218&gt;=4,"Sin pliometría el lunes. Sentadilla española 5x45 s","Sesión normal")))</f>
        <v/>
      </c>
      <c r="P218" s="16"/>
      <c r="Q218" s="16"/>
    </row>
    <row r="219" customFormat="false" ht="15" hidden="false" customHeight="false" outlineLevel="0" collapsed="false">
      <c r="A219" s="13" t="n">
        <v>16</v>
      </c>
      <c r="B219" s="14" t="n">
        <v>46377</v>
      </c>
      <c r="C219" s="13" t="s">
        <v>85</v>
      </c>
      <c r="D219" s="13" t="s">
        <v>71</v>
      </c>
      <c r="E219" s="13" t="n">
        <v>5</v>
      </c>
      <c r="F219" s="15" t="str">
        <f aca="false">Jugadores!$B$9</f>
        <v>Jugador 5</v>
      </c>
      <c r="G219" s="16"/>
      <c r="H219" s="16"/>
      <c r="I219" s="16"/>
      <c r="J219" s="17" t="str">
        <f aca="false">IF(COUNT(G219:I219)=0,"",G219*55+H219*50+I219*50)</f>
        <v/>
      </c>
      <c r="K219" s="16"/>
      <c r="L219" s="16"/>
      <c r="M219" s="16"/>
      <c r="N219" s="17" t="str">
        <f aca="false">IF(COUNT(K219:M219)=0,"",MAX(K219:M219))</f>
        <v/>
      </c>
      <c r="O219" s="18" t="str">
        <f aca="false">IF(N219="","",IF(N219&gt;=7,"Sin pliometría ni velocidad. Solo isométricos, movilidad y tren superior. Valoración médica",IF(N219&gt;=4,"Sin pliometría el lunes. Sentadilla española 5x45 s","Sesión normal")))</f>
        <v/>
      </c>
      <c r="P219" s="16"/>
      <c r="Q219" s="16"/>
    </row>
    <row r="220" customFormat="false" ht="15" hidden="false" customHeight="false" outlineLevel="0" collapsed="false">
      <c r="A220" s="13" t="n">
        <v>16</v>
      </c>
      <c r="B220" s="14" t="n">
        <v>46377</v>
      </c>
      <c r="C220" s="13" t="s">
        <v>85</v>
      </c>
      <c r="D220" s="13" t="s">
        <v>71</v>
      </c>
      <c r="E220" s="13" t="n">
        <v>5</v>
      </c>
      <c r="F220" s="15" t="str">
        <f aca="false">Jugadores!$B$10</f>
        <v>Jugador 6</v>
      </c>
      <c r="G220" s="16"/>
      <c r="H220" s="16"/>
      <c r="I220" s="16"/>
      <c r="J220" s="17" t="str">
        <f aca="false">IF(COUNT(G220:I220)=0,"",G220*55+H220*50+I220*50)</f>
        <v/>
      </c>
      <c r="K220" s="16"/>
      <c r="L220" s="16"/>
      <c r="M220" s="16"/>
      <c r="N220" s="17" t="str">
        <f aca="false">IF(COUNT(K220:M220)=0,"",MAX(K220:M220))</f>
        <v/>
      </c>
      <c r="O220" s="18" t="str">
        <f aca="false">IF(N220="","",IF(N220&gt;=7,"Sin pliometría ni velocidad. Solo isométricos, movilidad y tren superior. Valoración médica",IF(N220&gt;=4,"Sin pliometría el lunes. Sentadilla española 5x45 s","Sesión normal")))</f>
        <v/>
      </c>
      <c r="P220" s="16"/>
      <c r="Q220" s="16"/>
    </row>
    <row r="221" customFormat="false" ht="15" hidden="false" customHeight="false" outlineLevel="0" collapsed="false">
      <c r="A221" s="13" t="n">
        <v>16</v>
      </c>
      <c r="B221" s="14" t="n">
        <v>46377</v>
      </c>
      <c r="C221" s="13" t="s">
        <v>85</v>
      </c>
      <c r="D221" s="13" t="s">
        <v>71</v>
      </c>
      <c r="E221" s="13" t="n">
        <v>5</v>
      </c>
      <c r="F221" s="15" t="str">
        <f aca="false">Jugadores!$B$11</f>
        <v>Jugador 7</v>
      </c>
      <c r="G221" s="16"/>
      <c r="H221" s="16"/>
      <c r="I221" s="16"/>
      <c r="J221" s="17" t="str">
        <f aca="false">IF(COUNT(G221:I221)=0,"",G221*55+H221*50+I221*50)</f>
        <v/>
      </c>
      <c r="K221" s="16"/>
      <c r="L221" s="16"/>
      <c r="M221" s="16"/>
      <c r="N221" s="17" t="str">
        <f aca="false">IF(COUNT(K221:M221)=0,"",MAX(K221:M221))</f>
        <v/>
      </c>
      <c r="O221" s="18" t="str">
        <f aca="false">IF(N221="","",IF(N221&gt;=7,"Sin pliometría ni velocidad. Solo isométricos, movilidad y tren superior. Valoración médica",IF(N221&gt;=4,"Sin pliometría el lunes. Sentadilla española 5x45 s","Sesión normal")))</f>
        <v/>
      </c>
      <c r="P221" s="16"/>
      <c r="Q221" s="16"/>
    </row>
    <row r="222" customFormat="false" ht="15" hidden="false" customHeight="false" outlineLevel="0" collapsed="false">
      <c r="A222" s="13" t="n">
        <v>16</v>
      </c>
      <c r="B222" s="14" t="n">
        <v>46377</v>
      </c>
      <c r="C222" s="13" t="s">
        <v>85</v>
      </c>
      <c r="D222" s="13" t="s">
        <v>71</v>
      </c>
      <c r="E222" s="13" t="n">
        <v>5</v>
      </c>
      <c r="F222" s="15" t="str">
        <f aca="false">Jugadores!$B$12</f>
        <v>Jugador 8</v>
      </c>
      <c r="G222" s="16"/>
      <c r="H222" s="16"/>
      <c r="I222" s="16"/>
      <c r="J222" s="17" t="str">
        <f aca="false">IF(COUNT(G222:I222)=0,"",G222*55+H222*50+I222*50)</f>
        <v/>
      </c>
      <c r="K222" s="16"/>
      <c r="L222" s="16"/>
      <c r="M222" s="16"/>
      <c r="N222" s="17" t="str">
        <f aca="false">IF(COUNT(K222:M222)=0,"",MAX(K222:M222))</f>
        <v/>
      </c>
      <c r="O222" s="18" t="str">
        <f aca="false">IF(N222="","",IF(N222&gt;=7,"Sin pliometría ni velocidad. Solo isométricos, movilidad y tren superior. Valoración médica",IF(N222&gt;=4,"Sin pliometría el lunes. Sentadilla española 5x45 s","Sesión normal")))</f>
        <v/>
      </c>
      <c r="P222" s="16"/>
      <c r="Q222" s="16"/>
    </row>
    <row r="223" customFormat="false" ht="15" hidden="false" customHeight="false" outlineLevel="0" collapsed="false">
      <c r="A223" s="13" t="n">
        <v>16</v>
      </c>
      <c r="B223" s="14" t="n">
        <v>46377</v>
      </c>
      <c r="C223" s="13" t="s">
        <v>85</v>
      </c>
      <c r="D223" s="13" t="s">
        <v>71</v>
      </c>
      <c r="E223" s="13" t="n">
        <v>5</v>
      </c>
      <c r="F223" s="15" t="str">
        <f aca="false">Jugadores!$B$13</f>
        <v>Jugador 9</v>
      </c>
      <c r="G223" s="16"/>
      <c r="H223" s="16"/>
      <c r="I223" s="16"/>
      <c r="J223" s="17" t="str">
        <f aca="false">IF(COUNT(G223:I223)=0,"",G223*55+H223*50+I223*50)</f>
        <v/>
      </c>
      <c r="K223" s="16"/>
      <c r="L223" s="16"/>
      <c r="M223" s="16"/>
      <c r="N223" s="17" t="str">
        <f aca="false">IF(COUNT(K223:M223)=0,"",MAX(K223:M223))</f>
        <v/>
      </c>
      <c r="O223" s="18" t="str">
        <f aca="false">IF(N223="","",IF(N223&gt;=7,"Sin pliometría ni velocidad. Solo isométricos, movilidad y tren superior. Valoración médica",IF(N223&gt;=4,"Sin pliometría el lunes. Sentadilla española 5x45 s","Sesión normal")))</f>
        <v/>
      </c>
      <c r="P223" s="16"/>
      <c r="Q223" s="16"/>
    </row>
    <row r="224" customFormat="false" ht="15" hidden="false" customHeight="false" outlineLevel="0" collapsed="false">
      <c r="A224" s="13" t="n">
        <v>16</v>
      </c>
      <c r="B224" s="14" t="n">
        <v>46377</v>
      </c>
      <c r="C224" s="13" t="s">
        <v>85</v>
      </c>
      <c r="D224" s="13" t="s">
        <v>71</v>
      </c>
      <c r="E224" s="13" t="n">
        <v>5</v>
      </c>
      <c r="F224" s="15" t="str">
        <f aca="false">Jugadores!$B$14</f>
        <v>Jugador 10</v>
      </c>
      <c r="G224" s="16"/>
      <c r="H224" s="16"/>
      <c r="I224" s="16"/>
      <c r="J224" s="17" t="str">
        <f aca="false">IF(COUNT(G224:I224)=0,"",G224*55+H224*50+I224*50)</f>
        <v/>
      </c>
      <c r="K224" s="16"/>
      <c r="L224" s="16"/>
      <c r="M224" s="16"/>
      <c r="N224" s="17" t="str">
        <f aca="false">IF(COUNT(K224:M224)=0,"",MAX(K224:M224))</f>
        <v/>
      </c>
      <c r="O224" s="18" t="str">
        <f aca="false">IF(N224="","",IF(N224&gt;=7,"Sin pliometría ni velocidad. Solo isométricos, movilidad y tren superior. Valoración médica",IF(N224&gt;=4,"Sin pliometría el lunes. Sentadilla española 5x45 s","Sesión normal")))</f>
        <v/>
      </c>
      <c r="P224" s="16"/>
      <c r="Q224" s="16"/>
    </row>
    <row r="225" customFormat="false" ht="15" hidden="false" customHeight="false" outlineLevel="0" collapsed="false">
      <c r="A225" s="13" t="n">
        <v>16</v>
      </c>
      <c r="B225" s="14" t="n">
        <v>46377</v>
      </c>
      <c r="C225" s="13" t="s">
        <v>85</v>
      </c>
      <c r="D225" s="13" t="s">
        <v>71</v>
      </c>
      <c r="E225" s="13" t="n">
        <v>5</v>
      </c>
      <c r="F225" s="15" t="str">
        <f aca="false">Jugadores!$B$15</f>
        <v>Jugador 11</v>
      </c>
      <c r="G225" s="16"/>
      <c r="H225" s="16"/>
      <c r="I225" s="16"/>
      <c r="J225" s="17" t="str">
        <f aca="false">IF(COUNT(G225:I225)=0,"",G225*55+H225*50+I225*50)</f>
        <v/>
      </c>
      <c r="K225" s="16"/>
      <c r="L225" s="16"/>
      <c r="M225" s="16"/>
      <c r="N225" s="17" t="str">
        <f aca="false">IF(COUNT(K225:M225)=0,"",MAX(K225:M225))</f>
        <v/>
      </c>
      <c r="O225" s="18" t="str">
        <f aca="false">IF(N225="","",IF(N225&gt;=7,"Sin pliometría ni velocidad. Solo isométricos, movilidad y tren superior. Valoración médica",IF(N225&gt;=4,"Sin pliometría el lunes. Sentadilla española 5x45 s","Sesión normal")))</f>
        <v/>
      </c>
      <c r="P225" s="16"/>
      <c r="Q225" s="16"/>
    </row>
    <row r="226" customFormat="false" ht="15" hidden="false" customHeight="false" outlineLevel="0" collapsed="false">
      <c r="A226" s="13" t="n">
        <v>16</v>
      </c>
      <c r="B226" s="14" t="n">
        <v>46377</v>
      </c>
      <c r="C226" s="13" t="s">
        <v>85</v>
      </c>
      <c r="D226" s="13" t="s">
        <v>71</v>
      </c>
      <c r="E226" s="13" t="n">
        <v>5</v>
      </c>
      <c r="F226" s="15" t="str">
        <f aca="false">Jugadores!$B$16</f>
        <v>Jugador 12</v>
      </c>
      <c r="G226" s="16"/>
      <c r="H226" s="16"/>
      <c r="I226" s="16"/>
      <c r="J226" s="17" t="str">
        <f aca="false">IF(COUNT(G226:I226)=0,"",G226*55+H226*50+I226*50)</f>
        <v/>
      </c>
      <c r="K226" s="16"/>
      <c r="L226" s="16"/>
      <c r="M226" s="16"/>
      <c r="N226" s="17" t="str">
        <f aca="false">IF(COUNT(K226:M226)=0,"",MAX(K226:M226))</f>
        <v/>
      </c>
      <c r="O226" s="18" t="str">
        <f aca="false">IF(N226="","",IF(N226&gt;=7,"Sin pliometría ni velocidad. Solo isométricos, movilidad y tren superior. Valoración médica",IF(N226&gt;=4,"Sin pliometría el lunes. Sentadilla española 5x45 s","Sesión normal")))</f>
        <v/>
      </c>
      <c r="P226" s="16"/>
      <c r="Q226" s="16"/>
    </row>
    <row r="227" customFormat="false" ht="15" hidden="false" customHeight="false" outlineLevel="0" collapsed="false">
      <c r="A227" s="13" t="n">
        <v>16</v>
      </c>
      <c r="B227" s="14" t="n">
        <v>46377</v>
      </c>
      <c r="C227" s="13" t="s">
        <v>85</v>
      </c>
      <c r="D227" s="13" t="s">
        <v>71</v>
      </c>
      <c r="E227" s="13" t="n">
        <v>5</v>
      </c>
      <c r="F227" s="15" t="str">
        <f aca="false">Jugadores!$B$17</f>
        <v>Jugador 13</v>
      </c>
      <c r="G227" s="16"/>
      <c r="H227" s="16"/>
      <c r="I227" s="16"/>
      <c r="J227" s="17" t="str">
        <f aca="false">IF(COUNT(G227:I227)=0,"",G227*55+H227*50+I227*50)</f>
        <v/>
      </c>
      <c r="K227" s="16"/>
      <c r="L227" s="16"/>
      <c r="M227" s="16"/>
      <c r="N227" s="17" t="str">
        <f aca="false">IF(COUNT(K227:M227)=0,"",MAX(K227:M227))</f>
        <v/>
      </c>
      <c r="O227" s="18" t="str">
        <f aca="false">IF(N227="","",IF(N227&gt;=7,"Sin pliometría ni velocidad. Solo isométricos, movilidad y tren superior. Valoración médica",IF(N227&gt;=4,"Sin pliometría el lunes. Sentadilla española 5x45 s","Sesión normal")))</f>
        <v/>
      </c>
      <c r="P227" s="16"/>
      <c r="Q227" s="16"/>
    </row>
    <row r="228" customFormat="false" ht="15" hidden="false" customHeight="false" outlineLevel="0" collapsed="false">
      <c r="A228" s="13" t="n">
        <v>16</v>
      </c>
      <c r="B228" s="14" t="n">
        <v>46377</v>
      </c>
      <c r="C228" s="13" t="s">
        <v>85</v>
      </c>
      <c r="D228" s="13" t="s">
        <v>71</v>
      </c>
      <c r="E228" s="13" t="n">
        <v>5</v>
      </c>
      <c r="F228" s="15" t="str">
        <f aca="false">Jugadores!$B$18</f>
        <v>Jugador 14</v>
      </c>
      <c r="G228" s="16"/>
      <c r="H228" s="16"/>
      <c r="I228" s="16"/>
      <c r="J228" s="17" t="str">
        <f aca="false">IF(COUNT(G228:I228)=0,"",G228*55+H228*50+I228*50)</f>
        <v/>
      </c>
      <c r="K228" s="16"/>
      <c r="L228" s="16"/>
      <c r="M228" s="16"/>
      <c r="N228" s="17" t="str">
        <f aca="false">IF(COUNT(K228:M228)=0,"",MAX(K228:M228))</f>
        <v/>
      </c>
      <c r="O228" s="18" t="str">
        <f aca="false">IF(N228="","",IF(N228&gt;=7,"Sin pliometría ni velocidad. Solo isométricos, movilidad y tren superior. Valoración médica",IF(N228&gt;=4,"Sin pliometría el lunes. Sentadilla española 5x45 s","Sesión normal")))</f>
        <v/>
      </c>
      <c r="P228" s="16"/>
      <c r="Q228" s="16"/>
    </row>
    <row r="229" customFormat="false" ht="15" hidden="false" customHeight="false" outlineLevel="0" collapsed="false">
      <c r="A229" s="13" t="n">
        <v>17</v>
      </c>
      <c r="B229" s="14" t="n">
        <v>46384</v>
      </c>
      <c r="C229" s="13" t="s">
        <v>85</v>
      </c>
      <c r="D229" s="13" t="s">
        <v>71</v>
      </c>
      <c r="E229" s="13" t="n">
        <v>3</v>
      </c>
      <c r="F229" s="15" t="str">
        <f aca="false">Jugadores!$B$5</f>
        <v>Jugador 1</v>
      </c>
      <c r="G229" s="16"/>
      <c r="H229" s="16"/>
      <c r="I229" s="16"/>
      <c r="J229" s="17" t="str">
        <f aca="false">IF(COUNT(G229:I229)=0,"",G229*55+H229*50+I229*50)</f>
        <v/>
      </c>
      <c r="K229" s="16"/>
      <c r="L229" s="16"/>
      <c r="M229" s="16"/>
      <c r="N229" s="17" t="str">
        <f aca="false">IF(COUNT(K229:M229)=0,"",MAX(K229:M229))</f>
        <v/>
      </c>
      <c r="O229" s="18" t="str">
        <f aca="false">IF(N229="","",IF(N229&gt;=7,"Sin pliometría ni velocidad. Solo isométricos, movilidad y tren superior. Valoración médica",IF(N229&gt;=4,"Sin pliometría el lunes. Sentadilla española 5x45 s","Sesión normal")))</f>
        <v/>
      </c>
      <c r="P229" s="16"/>
      <c r="Q229" s="16"/>
    </row>
    <row r="230" customFormat="false" ht="15" hidden="false" customHeight="false" outlineLevel="0" collapsed="false">
      <c r="A230" s="13" t="n">
        <v>17</v>
      </c>
      <c r="B230" s="14" t="n">
        <v>46384</v>
      </c>
      <c r="C230" s="13" t="s">
        <v>85</v>
      </c>
      <c r="D230" s="13" t="s">
        <v>71</v>
      </c>
      <c r="E230" s="13" t="n">
        <v>3</v>
      </c>
      <c r="F230" s="15" t="str">
        <f aca="false">Jugadores!$B$6</f>
        <v>Jugador 2</v>
      </c>
      <c r="G230" s="16"/>
      <c r="H230" s="16"/>
      <c r="I230" s="16"/>
      <c r="J230" s="17" t="str">
        <f aca="false">IF(COUNT(G230:I230)=0,"",G230*55+H230*50+I230*50)</f>
        <v/>
      </c>
      <c r="K230" s="16"/>
      <c r="L230" s="16"/>
      <c r="M230" s="16"/>
      <c r="N230" s="17" t="str">
        <f aca="false">IF(COUNT(K230:M230)=0,"",MAX(K230:M230))</f>
        <v/>
      </c>
      <c r="O230" s="18" t="str">
        <f aca="false">IF(N230="","",IF(N230&gt;=7,"Sin pliometría ni velocidad. Solo isométricos, movilidad y tren superior. Valoración médica",IF(N230&gt;=4,"Sin pliometría el lunes. Sentadilla española 5x45 s","Sesión normal")))</f>
        <v/>
      </c>
      <c r="P230" s="16"/>
      <c r="Q230" s="16"/>
    </row>
    <row r="231" customFormat="false" ht="15" hidden="false" customHeight="false" outlineLevel="0" collapsed="false">
      <c r="A231" s="13" t="n">
        <v>17</v>
      </c>
      <c r="B231" s="14" t="n">
        <v>46384</v>
      </c>
      <c r="C231" s="13" t="s">
        <v>85</v>
      </c>
      <c r="D231" s="13" t="s">
        <v>71</v>
      </c>
      <c r="E231" s="13" t="n">
        <v>3</v>
      </c>
      <c r="F231" s="15" t="str">
        <f aca="false">Jugadores!$B$7</f>
        <v>Jugador 3</v>
      </c>
      <c r="G231" s="16"/>
      <c r="H231" s="16"/>
      <c r="I231" s="16"/>
      <c r="J231" s="17" t="str">
        <f aca="false">IF(COUNT(G231:I231)=0,"",G231*55+H231*50+I231*50)</f>
        <v/>
      </c>
      <c r="K231" s="16"/>
      <c r="L231" s="16"/>
      <c r="M231" s="16"/>
      <c r="N231" s="17" t="str">
        <f aca="false">IF(COUNT(K231:M231)=0,"",MAX(K231:M231))</f>
        <v/>
      </c>
      <c r="O231" s="18" t="str">
        <f aca="false">IF(N231="","",IF(N231&gt;=7,"Sin pliometría ni velocidad. Solo isométricos, movilidad y tren superior. Valoración médica",IF(N231&gt;=4,"Sin pliometría el lunes. Sentadilla española 5x45 s","Sesión normal")))</f>
        <v/>
      </c>
      <c r="P231" s="16"/>
      <c r="Q231" s="16"/>
    </row>
    <row r="232" customFormat="false" ht="15" hidden="false" customHeight="false" outlineLevel="0" collapsed="false">
      <c r="A232" s="13" t="n">
        <v>17</v>
      </c>
      <c r="B232" s="14" t="n">
        <v>46384</v>
      </c>
      <c r="C232" s="13" t="s">
        <v>85</v>
      </c>
      <c r="D232" s="13" t="s">
        <v>71</v>
      </c>
      <c r="E232" s="13" t="n">
        <v>3</v>
      </c>
      <c r="F232" s="15" t="str">
        <f aca="false">Jugadores!$B$8</f>
        <v>Jugador 4</v>
      </c>
      <c r="G232" s="16"/>
      <c r="H232" s="16"/>
      <c r="I232" s="16"/>
      <c r="J232" s="17" t="str">
        <f aca="false">IF(COUNT(G232:I232)=0,"",G232*55+H232*50+I232*50)</f>
        <v/>
      </c>
      <c r="K232" s="16"/>
      <c r="L232" s="16"/>
      <c r="M232" s="16"/>
      <c r="N232" s="17" t="str">
        <f aca="false">IF(COUNT(K232:M232)=0,"",MAX(K232:M232))</f>
        <v/>
      </c>
      <c r="O232" s="18" t="str">
        <f aca="false">IF(N232="","",IF(N232&gt;=7,"Sin pliometría ni velocidad. Solo isométricos, movilidad y tren superior. Valoración médica",IF(N232&gt;=4,"Sin pliometría el lunes. Sentadilla española 5x45 s","Sesión normal")))</f>
        <v/>
      </c>
      <c r="P232" s="16"/>
      <c r="Q232" s="16"/>
    </row>
    <row r="233" customFormat="false" ht="15" hidden="false" customHeight="false" outlineLevel="0" collapsed="false">
      <c r="A233" s="13" t="n">
        <v>17</v>
      </c>
      <c r="B233" s="14" t="n">
        <v>46384</v>
      </c>
      <c r="C233" s="13" t="s">
        <v>85</v>
      </c>
      <c r="D233" s="13" t="s">
        <v>71</v>
      </c>
      <c r="E233" s="13" t="n">
        <v>3</v>
      </c>
      <c r="F233" s="15" t="str">
        <f aca="false">Jugadores!$B$9</f>
        <v>Jugador 5</v>
      </c>
      <c r="G233" s="16"/>
      <c r="H233" s="16"/>
      <c r="I233" s="16"/>
      <c r="J233" s="17" t="str">
        <f aca="false">IF(COUNT(G233:I233)=0,"",G233*55+H233*50+I233*50)</f>
        <v/>
      </c>
      <c r="K233" s="16"/>
      <c r="L233" s="16"/>
      <c r="M233" s="16"/>
      <c r="N233" s="17" t="str">
        <f aca="false">IF(COUNT(K233:M233)=0,"",MAX(K233:M233))</f>
        <v/>
      </c>
      <c r="O233" s="18" t="str">
        <f aca="false">IF(N233="","",IF(N233&gt;=7,"Sin pliometría ni velocidad. Solo isométricos, movilidad y tren superior. Valoración médica",IF(N233&gt;=4,"Sin pliometría el lunes. Sentadilla española 5x45 s","Sesión normal")))</f>
        <v/>
      </c>
      <c r="P233" s="16"/>
      <c r="Q233" s="16"/>
    </row>
    <row r="234" customFormat="false" ht="15" hidden="false" customHeight="false" outlineLevel="0" collapsed="false">
      <c r="A234" s="13" t="n">
        <v>17</v>
      </c>
      <c r="B234" s="14" t="n">
        <v>46384</v>
      </c>
      <c r="C234" s="13" t="s">
        <v>85</v>
      </c>
      <c r="D234" s="13" t="s">
        <v>71</v>
      </c>
      <c r="E234" s="13" t="n">
        <v>3</v>
      </c>
      <c r="F234" s="15" t="str">
        <f aca="false">Jugadores!$B$10</f>
        <v>Jugador 6</v>
      </c>
      <c r="G234" s="16"/>
      <c r="H234" s="16"/>
      <c r="I234" s="16"/>
      <c r="J234" s="17" t="str">
        <f aca="false">IF(COUNT(G234:I234)=0,"",G234*55+H234*50+I234*50)</f>
        <v/>
      </c>
      <c r="K234" s="16"/>
      <c r="L234" s="16"/>
      <c r="M234" s="16"/>
      <c r="N234" s="17" t="str">
        <f aca="false">IF(COUNT(K234:M234)=0,"",MAX(K234:M234))</f>
        <v/>
      </c>
      <c r="O234" s="18" t="str">
        <f aca="false">IF(N234="","",IF(N234&gt;=7,"Sin pliometría ni velocidad. Solo isométricos, movilidad y tren superior. Valoración médica",IF(N234&gt;=4,"Sin pliometría el lunes. Sentadilla española 5x45 s","Sesión normal")))</f>
        <v/>
      </c>
      <c r="P234" s="16"/>
      <c r="Q234" s="16"/>
    </row>
    <row r="235" customFormat="false" ht="15" hidden="false" customHeight="false" outlineLevel="0" collapsed="false">
      <c r="A235" s="13" t="n">
        <v>17</v>
      </c>
      <c r="B235" s="14" t="n">
        <v>46384</v>
      </c>
      <c r="C235" s="13" t="s">
        <v>85</v>
      </c>
      <c r="D235" s="13" t="s">
        <v>71</v>
      </c>
      <c r="E235" s="13" t="n">
        <v>3</v>
      </c>
      <c r="F235" s="15" t="str">
        <f aca="false">Jugadores!$B$11</f>
        <v>Jugador 7</v>
      </c>
      <c r="G235" s="16"/>
      <c r="H235" s="16"/>
      <c r="I235" s="16"/>
      <c r="J235" s="17" t="str">
        <f aca="false">IF(COUNT(G235:I235)=0,"",G235*55+H235*50+I235*50)</f>
        <v/>
      </c>
      <c r="K235" s="16"/>
      <c r="L235" s="16"/>
      <c r="M235" s="16"/>
      <c r="N235" s="17" t="str">
        <f aca="false">IF(COUNT(K235:M235)=0,"",MAX(K235:M235))</f>
        <v/>
      </c>
      <c r="O235" s="18" t="str">
        <f aca="false">IF(N235="","",IF(N235&gt;=7,"Sin pliometría ni velocidad. Solo isométricos, movilidad y tren superior. Valoración médica",IF(N235&gt;=4,"Sin pliometría el lunes. Sentadilla española 5x45 s","Sesión normal")))</f>
        <v/>
      </c>
      <c r="P235" s="16"/>
      <c r="Q235" s="16"/>
    </row>
    <row r="236" customFormat="false" ht="15" hidden="false" customHeight="false" outlineLevel="0" collapsed="false">
      <c r="A236" s="13" t="n">
        <v>17</v>
      </c>
      <c r="B236" s="14" t="n">
        <v>46384</v>
      </c>
      <c r="C236" s="13" t="s">
        <v>85</v>
      </c>
      <c r="D236" s="13" t="s">
        <v>71</v>
      </c>
      <c r="E236" s="13" t="n">
        <v>3</v>
      </c>
      <c r="F236" s="15" t="str">
        <f aca="false">Jugadores!$B$12</f>
        <v>Jugador 8</v>
      </c>
      <c r="G236" s="16"/>
      <c r="H236" s="16"/>
      <c r="I236" s="16"/>
      <c r="J236" s="17" t="str">
        <f aca="false">IF(COUNT(G236:I236)=0,"",G236*55+H236*50+I236*50)</f>
        <v/>
      </c>
      <c r="K236" s="16"/>
      <c r="L236" s="16"/>
      <c r="M236" s="16"/>
      <c r="N236" s="17" t="str">
        <f aca="false">IF(COUNT(K236:M236)=0,"",MAX(K236:M236))</f>
        <v/>
      </c>
      <c r="O236" s="18" t="str">
        <f aca="false">IF(N236="","",IF(N236&gt;=7,"Sin pliometría ni velocidad. Solo isométricos, movilidad y tren superior. Valoración médica",IF(N236&gt;=4,"Sin pliometría el lunes. Sentadilla española 5x45 s","Sesión normal")))</f>
        <v/>
      </c>
      <c r="P236" s="16"/>
      <c r="Q236" s="16"/>
    </row>
    <row r="237" customFormat="false" ht="15" hidden="false" customHeight="false" outlineLevel="0" collapsed="false">
      <c r="A237" s="13" t="n">
        <v>17</v>
      </c>
      <c r="B237" s="14" t="n">
        <v>46384</v>
      </c>
      <c r="C237" s="13" t="s">
        <v>85</v>
      </c>
      <c r="D237" s="13" t="s">
        <v>71</v>
      </c>
      <c r="E237" s="13" t="n">
        <v>3</v>
      </c>
      <c r="F237" s="15" t="str">
        <f aca="false">Jugadores!$B$13</f>
        <v>Jugador 9</v>
      </c>
      <c r="G237" s="16"/>
      <c r="H237" s="16"/>
      <c r="I237" s="16"/>
      <c r="J237" s="17" t="str">
        <f aca="false">IF(COUNT(G237:I237)=0,"",G237*55+H237*50+I237*50)</f>
        <v/>
      </c>
      <c r="K237" s="16"/>
      <c r="L237" s="16"/>
      <c r="M237" s="16"/>
      <c r="N237" s="17" t="str">
        <f aca="false">IF(COUNT(K237:M237)=0,"",MAX(K237:M237))</f>
        <v/>
      </c>
      <c r="O237" s="18" t="str">
        <f aca="false">IF(N237="","",IF(N237&gt;=7,"Sin pliometría ni velocidad. Solo isométricos, movilidad y tren superior. Valoración médica",IF(N237&gt;=4,"Sin pliometría el lunes. Sentadilla española 5x45 s","Sesión normal")))</f>
        <v/>
      </c>
      <c r="P237" s="16"/>
      <c r="Q237" s="16"/>
    </row>
    <row r="238" customFormat="false" ht="15" hidden="false" customHeight="false" outlineLevel="0" collapsed="false">
      <c r="A238" s="13" t="n">
        <v>17</v>
      </c>
      <c r="B238" s="14" t="n">
        <v>46384</v>
      </c>
      <c r="C238" s="13" t="s">
        <v>85</v>
      </c>
      <c r="D238" s="13" t="s">
        <v>71</v>
      </c>
      <c r="E238" s="13" t="n">
        <v>3</v>
      </c>
      <c r="F238" s="15" t="str">
        <f aca="false">Jugadores!$B$14</f>
        <v>Jugador 10</v>
      </c>
      <c r="G238" s="16"/>
      <c r="H238" s="16"/>
      <c r="I238" s="16"/>
      <c r="J238" s="17" t="str">
        <f aca="false">IF(COUNT(G238:I238)=0,"",G238*55+H238*50+I238*50)</f>
        <v/>
      </c>
      <c r="K238" s="16"/>
      <c r="L238" s="16"/>
      <c r="M238" s="16"/>
      <c r="N238" s="17" t="str">
        <f aca="false">IF(COUNT(K238:M238)=0,"",MAX(K238:M238))</f>
        <v/>
      </c>
      <c r="O238" s="18" t="str">
        <f aca="false">IF(N238="","",IF(N238&gt;=7,"Sin pliometría ni velocidad. Solo isométricos, movilidad y tren superior. Valoración médica",IF(N238&gt;=4,"Sin pliometría el lunes. Sentadilla española 5x45 s","Sesión normal")))</f>
        <v/>
      </c>
      <c r="P238" s="16"/>
      <c r="Q238" s="16"/>
    </row>
    <row r="239" customFormat="false" ht="15" hidden="false" customHeight="false" outlineLevel="0" collapsed="false">
      <c r="A239" s="13" t="n">
        <v>17</v>
      </c>
      <c r="B239" s="14" t="n">
        <v>46384</v>
      </c>
      <c r="C239" s="13" t="s">
        <v>85</v>
      </c>
      <c r="D239" s="13" t="s">
        <v>71</v>
      </c>
      <c r="E239" s="13" t="n">
        <v>3</v>
      </c>
      <c r="F239" s="15" t="str">
        <f aca="false">Jugadores!$B$15</f>
        <v>Jugador 11</v>
      </c>
      <c r="G239" s="16"/>
      <c r="H239" s="16"/>
      <c r="I239" s="16"/>
      <c r="J239" s="17" t="str">
        <f aca="false">IF(COUNT(G239:I239)=0,"",G239*55+H239*50+I239*50)</f>
        <v/>
      </c>
      <c r="K239" s="16"/>
      <c r="L239" s="16"/>
      <c r="M239" s="16"/>
      <c r="N239" s="17" t="str">
        <f aca="false">IF(COUNT(K239:M239)=0,"",MAX(K239:M239))</f>
        <v/>
      </c>
      <c r="O239" s="18" t="str">
        <f aca="false">IF(N239="","",IF(N239&gt;=7,"Sin pliometría ni velocidad. Solo isométricos, movilidad y tren superior. Valoración médica",IF(N239&gt;=4,"Sin pliometría el lunes. Sentadilla española 5x45 s","Sesión normal")))</f>
        <v/>
      </c>
      <c r="P239" s="16"/>
      <c r="Q239" s="16"/>
    </row>
    <row r="240" customFormat="false" ht="15" hidden="false" customHeight="false" outlineLevel="0" collapsed="false">
      <c r="A240" s="13" t="n">
        <v>17</v>
      </c>
      <c r="B240" s="14" t="n">
        <v>46384</v>
      </c>
      <c r="C240" s="13" t="s">
        <v>85</v>
      </c>
      <c r="D240" s="13" t="s">
        <v>71</v>
      </c>
      <c r="E240" s="13" t="n">
        <v>3</v>
      </c>
      <c r="F240" s="15" t="str">
        <f aca="false">Jugadores!$B$16</f>
        <v>Jugador 12</v>
      </c>
      <c r="G240" s="16"/>
      <c r="H240" s="16"/>
      <c r="I240" s="16"/>
      <c r="J240" s="17" t="str">
        <f aca="false">IF(COUNT(G240:I240)=0,"",G240*55+H240*50+I240*50)</f>
        <v/>
      </c>
      <c r="K240" s="16"/>
      <c r="L240" s="16"/>
      <c r="M240" s="16"/>
      <c r="N240" s="17" t="str">
        <f aca="false">IF(COUNT(K240:M240)=0,"",MAX(K240:M240))</f>
        <v/>
      </c>
      <c r="O240" s="18" t="str">
        <f aca="false">IF(N240="","",IF(N240&gt;=7,"Sin pliometría ni velocidad. Solo isométricos, movilidad y tren superior. Valoración médica",IF(N240&gt;=4,"Sin pliometría el lunes. Sentadilla española 5x45 s","Sesión normal")))</f>
        <v/>
      </c>
      <c r="P240" s="16"/>
      <c r="Q240" s="16"/>
    </row>
    <row r="241" customFormat="false" ht="15" hidden="false" customHeight="false" outlineLevel="0" collapsed="false">
      <c r="A241" s="13" t="n">
        <v>17</v>
      </c>
      <c r="B241" s="14" t="n">
        <v>46384</v>
      </c>
      <c r="C241" s="13" t="s">
        <v>85</v>
      </c>
      <c r="D241" s="13" t="s">
        <v>71</v>
      </c>
      <c r="E241" s="13" t="n">
        <v>3</v>
      </c>
      <c r="F241" s="15" t="str">
        <f aca="false">Jugadores!$B$17</f>
        <v>Jugador 13</v>
      </c>
      <c r="G241" s="16"/>
      <c r="H241" s="16"/>
      <c r="I241" s="16"/>
      <c r="J241" s="17" t="str">
        <f aca="false">IF(COUNT(G241:I241)=0,"",G241*55+H241*50+I241*50)</f>
        <v/>
      </c>
      <c r="K241" s="16"/>
      <c r="L241" s="16"/>
      <c r="M241" s="16"/>
      <c r="N241" s="17" t="str">
        <f aca="false">IF(COUNT(K241:M241)=0,"",MAX(K241:M241))</f>
        <v/>
      </c>
      <c r="O241" s="18" t="str">
        <f aca="false">IF(N241="","",IF(N241&gt;=7,"Sin pliometría ni velocidad. Solo isométricos, movilidad y tren superior. Valoración médica",IF(N241&gt;=4,"Sin pliometría el lunes. Sentadilla española 5x45 s","Sesión normal")))</f>
        <v/>
      </c>
      <c r="P241" s="16"/>
      <c r="Q241" s="16"/>
    </row>
    <row r="242" customFormat="false" ht="15" hidden="false" customHeight="false" outlineLevel="0" collapsed="false">
      <c r="A242" s="13" t="n">
        <v>17</v>
      </c>
      <c r="B242" s="14" t="n">
        <v>46384</v>
      </c>
      <c r="C242" s="13" t="s">
        <v>85</v>
      </c>
      <c r="D242" s="13" t="s">
        <v>71</v>
      </c>
      <c r="E242" s="13" t="n">
        <v>3</v>
      </c>
      <c r="F242" s="15" t="str">
        <f aca="false">Jugadores!$B$18</f>
        <v>Jugador 14</v>
      </c>
      <c r="G242" s="16"/>
      <c r="H242" s="16"/>
      <c r="I242" s="16"/>
      <c r="J242" s="17" t="str">
        <f aca="false">IF(COUNT(G242:I242)=0,"",G242*55+H242*50+I242*50)</f>
        <v/>
      </c>
      <c r="K242" s="16"/>
      <c r="L242" s="16"/>
      <c r="M242" s="16"/>
      <c r="N242" s="17" t="str">
        <f aca="false">IF(COUNT(K242:M242)=0,"",MAX(K242:M242))</f>
        <v/>
      </c>
      <c r="O242" s="18" t="str">
        <f aca="false">IF(N242="","",IF(N242&gt;=7,"Sin pliometría ni velocidad. Solo isométricos, movilidad y tren superior. Valoración médica",IF(N242&gt;=4,"Sin pliometría el lunes. Sentadilla española 5x45 s","Sesión normal")))</f>
        <v/>
      </c>
      <c r="P242" s="16"/>
      <c r="Q242" s="16"/>
    </row>
    <row r="243" customFormat="false" ht="15" hidden="false" customHeight="false" outlineLevel="0" collapsed="false">
      <c r="A243" s="13" t="n">
        <v>18</v>
      </c>
      <c r="B243" s="14" t="n">
        <v>46391</v>
      </c>
      <c r="C243" s="13" t="s">
        <v>85</v>
      </c>
      <c r="D243" s="13" t="s">
        <v>71</v>
      </c>
      <c r="E243" s="13" t="n">
        <v>5</v>
      </c>
      <c r="F243" s="15" t="str">
        <f aca="false">Jugadores!$B$5</f>
        <v>Jugador 1</v>
      </c>
      <c r="G243" s="16"/>
      <c r="H243" s="16"/>
      <c r="I243" s="16"/>
      <c r="J243" s="17" t="str">
        <f aca="false">IF(COUNT(G243:I243)=0,"",G243*55+H243*50+I243*50)</f>
        <v/>
      </c>
      <c r="K243" s="16"/>
      <c r="L243" s="16"/>
      <c r="M243" s="16"/>
      <c r="N243" s="17" t="str">
        <f aca="false">IF(COUNT(K243:M243)=0,"",MAX(K243:M243))</f>
        <v/>
      </c>
      <c r="O243" s="18" t="str">
        <f aca="false">IF(N243="","",IF(N243&gt;=7,"Sin pliometría ni velocidad. Solo isométricos, movilidad y tren superior. Valoración médica",IF(N243&gt;=4,"Sin pliometría el lunes. Sentadilla española 5x45 s","Sesión normal")))</f>
        <v/>
      </c>
      <c r="P243" s="16"/>
      <c r="Q243" s="16"/>
    </row>
    <row r="244" customFormat="false" ht="15" hidden="false" customHeight="false" outlineLevel="0" collapsed="false">
      <c r="A244" s="13" t="n">
        <v>18</v>
      </c>
      <c r="B244" s="14" t="n">
        <v>46391</v>
      </c>
      <c r="C244" s="13" t="s">
        <v>85</v>
      </c>
      <c r="D244" s="13" t="s">
        <v>71</v>
      </c>
      <c r="E244" s="13" t="n">
        <v>5</v>
      </c>
      <c r="F244" s="15" t="str">
        <f aca="false">Jugadores!$B$6</f>
        <v>Jugador 2</v>
      </c>
      <c r="G244" s="16"/>
      <c r="H244" s="16"/>
      <c r="I244" s="16"/>
      <c r="J244" s="17" t="str">
        <f aca="false">IF(COUNT(G244:I244)=0,"",G244*55+H244*50+I244*50)</f>
        <v/>
      </c>
      <c r="K244" s="16"/>
      <c r="L244" s="16"/>
      <c r="M244" s="16"/>
      <c r="N244" s="17" t="str">
        <f aca="false">IF(COUNT(K244:M244)=0,"",MAX(K244:M244))</f>
        <v/>
      </c>
      <c r="O244" s="18" t="str">
        <f aca="false">IF(N244="","",IF(N244&gt;=7,"Sin pliometría ni velocidad. Solo isométricos, movilidad y tren superior. Valoración médica",IF(N244&gt;=4,"Sin pliometría el lunes. Sentadilla española 5x45 s","Sesión normal")))</f>
        <v/>
      </c>
      <c r="P244" s="16"/>
      <c r="Q244" s="16"/>
    </row>
    <row r="245" customFormat="false" ht="15" hidden="false" customHeight="false" outlineLevel="0" collapsed="false">
      <c r="A245" s="13" t="n">
        <v>18</v>
      </c>
      <c r="B245" s="14" t="n">
        <v>46391</v>
      </c>
      <c r="C245" s="13" t="s">
        <v>85</v>
      </c>
      <c r="D245" s="13" t="s">
        <v>71</v>
      </c>
      <c r="E245" s="13" t="n">
        <v>5</v>
      </c>
      <c r="F245" s="15" t="str">
        <f aca="false">Jugadores!$B$7</f>
        <v>Jugador 3</v>
      </c>
      <c r="G245" s="16"/>
      <c r="H245" s="16"/>
      <c r="I245" s="16"/>
      <c r="J245" s="17" t="str">
        <f aca="false">IF(COUNT(G245:I245)=0,"",G245*55+H245*50+I245*50)</f>
        <v/>
      </c>
      <c r="K245" s="16"/>
      <c r="L245" s="16"/>
      <c r="M245" s="16"/>
      <c r="N245" s="17" t="str">
        <f aca="false">IF(COUNT(K245:M245)=0,"",MAX(K245:M245))</f>
        <v/>
      </c>
      <c r="O245" s="18" t="str">
        <f aca="false">IF(N245="","",IF(N245&gt;=7,"Sin pliometría ni velocidad. Solo isométricos, movilidad y tren superior. Valoración médica",IF(N245&gt;=4,"Sin pliometría el lunes. Sentadilla española 5x45 s","Sesión normal")))</f>
        <v/>
      </c>
      <c r="P245" s="16"/>
      <c r="Q245" s="16"/>
    </row>
    <row r="246" customFormat="false" ht="15" hidden="false" customHeight="false" outlineLevel="0" collapsed="false">
      <c r="A246" s="13" t="n">
        <v>18</v>
      </c>
      <c r="B246" s="14" t="n">
        <v>46391</v>
      </c>
      <c r="C246" s="13" t="s">
        <v>85</v>
      </c>
      <c r="D246" s="13" t="s">
        <v>71</v>
      </c>
      <c r="E246" s="13" t="n">
        <v>5</v>
      </c>
      <c r="F246" s="15" t="str">
        <f aca="false">Jugadores!$B$8</f>
        <v>Jugador 4</v>
      </c>
      <c r="G246" s="16"/>
      <c r="H246" s="16"/>
      <c r="I246" s="16"/>
      <c r="J246" s="17" t="str">
        <f aca="false">IF(COUNT(G246:I246)=0,"",G246*55+H246*50+I246*50)</f>
        <v/>
      </c>
      <c r="K246" s="16"/>
      <c r="L246" s="16"/>
      <c r="M246" s="16"/>
      <c r="N246" s="17" t="str">
        <f aca="false">IF(COUNT(K246:M246)=0,"",MAX(K246:M246))</f>
        <v/>
      </c>
      <c r="O246" s="18" t="str">
        <f aca="false">IF(N246="","",IF(N246&gt;=7,"Sin pliometría ni velocidad. Solo isométricos, movilidad y tren superior. Valoración médica",IF(N246&gt;=4,"Sin pliometría el lunes. Sentadilla española 5x45 s","Sesión normal")))</f>
        <v/>
      </c>
      <c r="P246" s="16"/>
      <c r="Q246" s="16"/>
    </row>
    <row r="247" customFormat="false" ht="15" hidden="false" customHeight="false" outlineLevel="0" collapsed="false">
      <c r="A247" s="13" t="n">
        <v>18</v>
      </c>
      <c r="B247" s="14" t="n">
        <v>46391</v>
      </c>
      <c r="C247" s="13" t="s">
        <v>85</v>
      </c>
      <c r="D247" s="13" t="s">
        <v>71</v>
      </c>
      <c r="E247" s="13" t="n">
        <v>5</v>
      </c>
      <c r="F247" s="15" t="str">
        <f aca="false">Jugadores!$B$9</f>
        <v>Jugador 5</v>
      </c>
      <c r="G247" s="16"/>
      <c r="H247" s="16"/>
      <c r="I247" s="16"/>
      <c r="J247" s="17" t="str">
        <f aca="false">IF(COUNT(G247:I247)=0,"",G247*55+H247*50+I247*50)</f>
        <v/>
      </c>
      <c r="K247" s="16"/>
      <c r="L247" s="16"/>
      <c r="M247" s="16"/>
      <c r="N247" s="17" t="str">
        <f aca="false">IF(COUNT(K247:M247)=0,"",MAX(K247:M247))</f>
        <v/>
      </c>
      <c r="O247" s="18" t="str">
        <f aca="false">IF(N247="","",IF(N247&gt;=7,"Sin pliometría ni velocidad. Solo isométricos, movilidad y tren superior. Valoración médica",IF(N247&gt;=4,"Sin pliometría el lunes. Sentadilla española 5x45 s","Sesión normal")))</f>
        <v/>
      </c>
      <c r="P247" s="16"/>
      <c r="Q247" s="16"/>
    </row>
    <row r="248" customFormat="false" ht="15" hidden="false" customHeight="false" outlineLevel="0" collapsed="false">
      <c r="A248" s="13" t="n">
        <v>18</v>
      </c>
      <c r="B248" s="14" t="n">
        <v>46391</v>
      </c>
      <c r="C248" s="13" t="s">
        <v>85</v>
      </c>
      <c r="D248" s="13" t="s">
        <v>71</v>
      </c>
      <c r="E248" s="13" t="n">
        <v>5</v>
      </c>
      <c r="F248" s="15" t="str">
        <f aca="false">Jugadores!$B$10</f>
        <v>Jugador 6</v>
      </c>
      <c r="G248" s="16"/>
      <c r="H248" s="16"/>
      <c r="I248" s="16"/>
      <c r="J248" s="17" t="str">
        <f aca="false">IF(COUNT(G248:I248)=0,"",G248*55+H248*50+I248*50)</f>
        <v/>
      </c>
      <c r="K248" s="16"/>
      <c r="L248" s="16"/>
      <c r="M248" s="16"/>
      <c r="N248" s="17" t="str">
        <f aca="false">IF(COUNT(K248:M248)=0,"",MAX(K248:M248))</f>
        <v/>
      </c>
      <c r="O248" s="18" t="str">
        <f aca="false">IF(N248="","",IF(N248&gt;=7,"Sin pliometría ni velocidad. Solo isométricos, movilidad y tren superior. Valoración médica",IF(N248&gt;=4,"Sin pliometría el lunes. Sentadilla española 5x45 s","Sesión normal")))</f>
        <v/>
      </c>
      <c r="P248" s="16"/>
      <c r="Q248" s="16"/>
    </row>
    <row r="249" customFormat="false" ht="15" hidden="false" customHeight="false" outlineLevel="0" collapsed="false">
      <c r="A249" s="13" t="n">
        <v>18</v>
      </c>
      <c r="B249" s="14" t="n">
        <v>46391</v>
      </c>
      <c r="C249" s="13" t="s">
        <v>85</v>
      </c>
      <c r="D249" s="13" t="s">
        <v>71</v>
      </c>
      <c r="E249" s="13" t="n">
        <v>5</v>
      </c>
      <c r="F249" s="15" t="str">
        <f aca="false">Jugadores!$B$11</f>
        <v>Jugador 7</v>
      </c>
      <c r="G249" s="16"/>
      <c r="H249" s="16"/>
      <c r="I249" s="16"/>
      <c r="J249" s="17" t="str">
        <f aca="false">IF(COUNT(G249:I249)=0,"",G249*55+H249*50+I249*50)</f>
        <v/>
      </c>
      <c r="K249" s="16"/>
      <c r="L249" s="16"/>
      <c r="M249" s="16"/>
      <c r="N249" s="17" t="str">
        <f aca="false">IF(COUNT(K249:M249)=0,"",MAX(K249:M249))</f>
        <v/>
      </c>
      <c r="O249" s="18" t="str">
        <f aca="false">IF(N249="","",IF(N249&gt;=7,"Sin pliometría ni velocidad. Solo isométricos, movilidad y tren superior. Valoración médica",IF(N249&gt;=4,"Sin pliometría el lunes. Sentadilla española 5x45 s","Sesión normal")))</f>
        <v/>
      </c>
      <c r="P249" s="16"/>
      <c r="Q249" s="16"/>
    </row>
    <row r="250" customFormat="false" ht="15" hidden="false" customHeight="false" outlineLevel="0" collapsed="false">
      <c r="A250" s="13" t="n">
        <v>18</v>
      </c>
      <c r="B250" s="14" t="n">
        <v>46391</v>
      </c>
      <c r="C250" s="13" t="s">
        <v>85</v>
      </c>
      <c r="D250" s="13" t="s">
        <v>71</v>
      </c>
      <c r="E250" s="13" t="n">
        <v>5</v>
      </c>
      <c r="F250" s="15" t="str">
        <f aca="false">Jugadores!$B$12</f>
        <v>Jugador 8</v>
      </c>
      <c r="G250" s="16"/>
      <c r="H250" s="16"/>
      <c r="I250" s="16"/>
      <c r="J250" s="17" t="str">
        <f aca="false">IF(COUNT(G250:I250)=0,"",G250*55+H250*50+I250*50)</f>
        <v/>
      </c>
      <c r="K250" s="16"/>
      <c r="L250" s="16"/>
      <c r="M250" s="16"/>
      <c r="N250" s="17" t="str">
        <f aca="false">IF(COUNT(K250:M250)=0,"",MAX(K250:M250))</f>
        <v/>
      </c>
      <c r="O250" s="18" t="str">
        <f aca="false">IF(N250="","",IF(N250&gt;=7,"Sin pliometría ni velocidad. Solo isométricos, movilidad y tren superior. Valoración médica",IF(N250&gt;=4,"Sin pliometría el lunes. Sentadilla española 5x45 s","Sesión normal")))</f>
        <v/>
      </c>
      <c r="P250" s="16"/>
      <c r="Q250" s="16"/>
    </row>
    <row r="251" customFormat="false" ht="15" hidden="false" customHeight="false" outlineLevel="0" collapsed="false">
      <c r="A251" s="13" t="n">
        <v>18</v>
      </c>
      <c r="B251" s="14" t="n">
        <v>46391</v>
      </c>
      <c r="C251" s="13" t="s">
        <v>85</v>
      </c>
      <c r="D251" s="13" t="s">
        <v>71</v>
      </c>
      <c r="E251" s="13" t="n">
        <v>5</v>
      </c>
      <c r="F251" s="15" t="str">
        <f aca="false">Jugadores!$B$13</f>
        <v>Jugador 9</v>
      </c>
      <c r="G251" s="16"/>
      <c r="H251" s="16"/>
      <c r="I251" s="16"/>
      <c r="J251" s="17" t="str">
        <f aca="false">IF(COUNT(G251:I251)=0,"",G251*55+H251*50+I251*50)</f>
        <v/>
      </c>
      <c r="K251" s="16"/>
      <c r="L251" s="16"/>
      <c r="M251" s="16"/>
      <c r="N251" s="17" t="str">
        <f aca="false">IF(COUNT(K251:M251)=0,"",MAX(K251:M251))</f>
        <v/>
      </c>
      <c r="O251" s="18" t="str">
        <f aca="false">IF(N251="","",IF(N251&gt;=7,"Sin pliometría ni velocidad. Solo isométricos, movilidad y tren superior. Valoración médica",IF(N251&gt;=4,"Sin pliometría el lunes. Sentadilla española 5x45 s","Sesión normal")))</f>
        <v/>
      </c>
      <c r="P251" s="16"/>
      <c r="Q251" s="16"/>
    </row>
    <row r="252" customFormat="false" ht="15" hidden="false" customHeight="false" outlineLevel="0" collapsed="false">
      <c r="A252" s="13" t="n">
        <v>18</v>
      </c>
      <c r="B252" s="14" t="n">
        <v>46391</v>
      </c>
      <c r="C252" s="13" t="s">
        <v>85</v>
      </c>
      <c r="D252" s="13" t="s">
        <v>71</v>
      </c>
      <c r="E252" s="13" t="n">
        <v>5</v>
      </c>
      <c r="F252" s="15" t="str">
        <f aca="false">Jugadores!$B$14</f>
        <v>Jugador 10</v>
      </c>
      <c r="G252" s="16"/>
      <c r="H252" s="16"/>
      <c r="I252" s="16"/>
      <c r="J252" s="17" t="str">
        <f aca="false">IF(COUNT(G252:I252)=0,"",G252*55+H252*50+I252*50)</f>
        <v/>
      </c>
      <c r="K252" s="16"/>
      <c r="L252" s="16"/>
      <c r="M252" s="16"/>
      <c r="N252" s="17" t="str">
        <f aca="false">IF(COUNT(K252:M252)=0,"",MAX(K252:M252))</f>
        <v/>
      </c>
      <c r="O252" s="18" t="str">
        <f aca="false">IF(N252="","",IF(N252&gt;=7,"Sin pliometría ni velocidad. Solo isométricos, movilidad y tren superior. Valoración médica",IF(N252&gt;=4,"Sin pliometría el lunes. Sentadilla española 5x45 s","Sesión normal")))</f>
        <v/>
      </c>
      <c r="P252" s="16"/>
      <c r="Q252" s="16"/>
    </row>
    <row r="253" customFormat="false" ht="15" hidden="false" customHeight="false" outlineLevel="0" collapsed="false">
      <c r="A253" s="13" t="n">
        <v>18</v>
      </c>
      <c r="B253" s="14" t="n">
        <v>46391</v>
      </c>
      <c r="C253" s="13" t="s">
        <v>85</v>
      </c>
      <c r="D253" s="13" t="s">
        <v>71</v>
      </c>
      <c r="E253" s="13" t="n">
        <v>5</v>
      </c>
      <c r="F253" s="15" t="str">
        <f aca="false">Jugadores!$B$15</f>
        <v>Jugador 11</v>
      </c>
      <c r="G253" s="16"/>
      <c r="H253" s="16"/>
      <c r="I253" s="16"/>
      <c r="J253" s="17" t="str">
        <f aca="false">IF(COUNT(G253:I253)=0,"",G253*55+H253*50+I253*50)</f>
        <v/>
      </c>
      <c r="K253" s="16"/>
      <c r="L253" s="16"/>
      <c r="M253" s="16"/>
      <c r="N253" s="17" t="str">
        <f aca="false">IF(COUNT(K253:M253)=0,"",MAX(K253:M253))</f>
        <v/>
      </c>
      <c r="O253" s="18" t="str">
        <f aca="false">IF(N253="","",IF(N253&gt;=7,"Sin pliometría ni velocidad. Solo isométricos, movilidad y tren superior. Valoración médica",IF(N253&gt;=4,"Sin pliometría el lunes. Sentadilla española 5x45 s","Sesión normal")))</f>
        <v/>
      </c>
      <c r="P253" s="16"/>
      <c r="Q253" s="16"/>
    </row>
    <row r="254" customFormat="false" ht="15" hidden="false" customHeight="false" outlineLevel="0" collapsed="false">
      <c r="A254" s="13" t="n">
        <v>18</v>
      </c>
      <c r="B254" s="14" t="n">
        <v>46391</v>
      </c>
      <c r="C254" s="13" t="s">
        <v>85</v>
      </c>
      <c r="D254" s="13" t="s">
        <v>71</v>
      </c>
      <c r="E254" s="13" t="n">
        <v>5</v>
      </c>
      <c r="F254" s="15" t="str">
        <f aca="false">Jugadores!$B$16</f>
        <v>Jugador 12</v>
      </c>
      <c r="G254" s="16"/>
      <c r="H254" s="16"/>
      <c r="I254" s="16"/>
      <c r="J254" s="17" t="str">
        <f aca="false">IF(COUNT(G254:I254)=0,"",G254*55+H254*50+I254*50)</f>
        <v/>
      </c>
      <c r="K254" s="16"/>
      <c r="L254" s="16"/>
      <c r="M254" s="16"/>
      <c r="N254" s="17" t="str">
        <f aca="false">IF(COUNT(K254:M254)=0,"",MAX(K254:M254))</f>
        <v/>
      </c>
      <c r="O254" s="18" t="str">
        <f aca="false">IF(N254="","",IF(N254&gt;=7,"Sin pliometría ni velocidad. Solo isométricos, movilidad y tren superior. Valoración médica",IF(N254&gt;=4,"Sin pliometría el lunes. Sentadilla española 5x45 s","Sesión normal")))</f>
        <v/>
      </c>
      <c r="P254" s="16"/>
      <c r="Q254" s="16"/>
    </row>
    <row r="255" customFormat="false" ht="15" hidden="false" customHeight="false" outlineLevel="0" collapsed="false">
      <c r="A255" s="13" t="n">
        <v>18</v>
      </c>
      <c r="B255" s="14" t="n">
        <v>46391</v>
      </c>
      <c r="C255" s="13" t="s">
        <v>85</v>
      </c>
      <c r="D255" s="13" t="s">
        <v>71</v>
      </c>
      <c r="E255" s="13" t="n">
        <v>5</v>
      </c>
      <c r="F255" s="15" t="str">
        <f aca="false">Jugadores!$B$17</f>
        <v>Jugador 13</v>
      </c>
      <c r="G255" s="16"/>
      <c r="H255" s="16"/>
      <c r="I255" s="16"/>
      <c r="J255" s="17" t="str">
        <f aca="false">IF(COUNT(G255:I255)=0,"",G255*55+H255*50+I255*50)</f>
        <v/>
      </c>
      <c r="K255" s="16"/>
      <c r="L255" s="16"/>
      <c r="M255" s="16"/>
      <c r="N255" s="17" t="str">
        <f aca="false">IF(COUNT(K255:M255)=0,"",MAX(K255:M255))</f>
        <v/>
      </c>
      <c r="O255" s="18" t="str">
        <f aca="false">IF(N255="","",IF(N255&gt;=7,"Sin pliometría ni velocidad. Solo isométricos, movilidad y tren superior. Valoración médica",IF(N255&gt;=4,"Sin pliometría el lunes. Sentadilla española 5x45 s","Sesión normal")))</f>
        <v/>
      </c>
      <c r="P255" s="16"/>
      <c r="Q255" s="16"/>
    </row>
    <row r="256" customFormat="false" ht="15" hidden="false" customHeight="false" outlineLevel="0" collapsed="false">
      <c r="A256" s="13" t="n">
        <v>18</v>
      </c>
      <c r="B256" s="14" t="n">
        <v>46391</v>
      </c>
      <c r="C256" s="13" t="s">
        <v>85</v>
      </c>
      <c r="D256" s="13" t="s">
        <v>71</v>
      </c>
      <c r="E256" s="13" t="n">
        <v>5</v>
      </c>
      <c r="F256" s="15" t="str">
        <f aca="false">Jugadores!$B$18</f>
        <v>Jugador 14</v>
      </c>
      <c r="G256" s="16"/>
      <c r="H256" s="16"/>
      <c r="I256" s="16"/>
      <c r="J256" s="17" t="str">
        <f aca="false">IF(COUNT(G256:I256)=0,"",G256*55+H256*50+I256*50)</f>
        <v/>
      </c>
      <c r="K256" s="16"/>
      <c r="L256" s="16"/>
      <c r="M256" s="16"/>
      <c r="N256" s="17" t="str">
        <f aca="false">IF(COUNT(K256:M256)=0,"",MAX(K256:M256))</f>
        <v/>
      </c>
      <c r="O256" s="18" t="str">
        <f aca="false">IF(N256="","",IF(N256&gt;=7,"Sin pliometría ni velocidad. Solo isométricos, movilidad y tren superior. Valoración médica",IF(N256&gt;=4,"Sin pliometría el lunes. Sentadilla española 5x45 s","Sesión normal")))</f>
        <v/>
      </c>
      <c r="P256" s="16"/>
      <c r="Q256" s="16"/>
    </row>
    <row r="257" customFormat="false" ht="15" hidden="false" customHeight="false" outlineLevel="0" collapsed="false">
      <c r="A257" s="13" t="n">
        <v>19</v>
      </c>
      <c r="B257" s="14" t="n">
        <v>46398</v>
      </c>
      <c r="C257" s="13" t="s">
        <v>85</v>
      </c>
      <c r="D257" s="13" t="s">
        <v>86</v>
      </c>
      <c r="E257" s="13" t="n">
        <v>6</v>
      </c>
      <c r="F257" s="15" t="str">
        <f aca="false">Jugadores!$B$5</f>
        <v>Jugador 1</v>
      </c>
      <c r="G257" s="16"/>
      <c r="H257" s="16"/>
      <c r="I257" s="16"/>
      <c r="J257" s="17" t="str">
        <f aca="false">IF(COUNT(G257:I257)=0,"",G257*55+H257*50+I257*50)</f>
        <v/>
      </c>
      <c r="K257" s="16"/>
      <c r="L257" s="16"/>
      <c r="M257" s="16"/>
      <c r="N257" s="17" t="str">
        <f aca="false">IF(COUNT(K257:M257)=0,"",MAX(K257:M257))</f>
        <v/>
      </c>
      <c r="O257" s="18" t="str">
        <f aca="false">IF(N257="","",IF(N257&gt;=7,"Sin pliometría ni velocidad. Solo isométricos, movilidad y tren superior. Valoración médica",IF(N257&gt;=4,"Sin pliometría el lunes. Sentadilla española 5x45 s","Sesión normal")))</f>
        <v/>
      </c>
      <c r="P257" s="16"/>
      <c r="Q257" s="16"/>
    </row>
    <row r="258" customFormat="false" ht="15" hidden="false" customHeight="false" outlineLevel="0" collapsed="false">
      <c r="A258" s="13" t="n">
        <v>19</v>
      </c>
      <c r="B258" s="14" t="n">
        <v>46398</v>
      </c>
      <c r="C258" s="13" t="s">
        <v>85</v>
      </c>
      <c r="D258" s="13" t="s">
        <v>86</v>
      </c>
      <c r="E258" s="13" t="n">
        <v>6</v>
      </c>
      <c r="F258" s="15" t="str">
        <f aca="false">Jugadores!$B$6</f>
        <v>Jugador 2</v>
      </c>
      <c r="G258" s="16"/>
      <c r="H258" s="16"/>
      <c r="I258" s="16"/>
      <c r="J258" s="17" t="str">
        <f aca="false">IF(COUNT(G258:I258)=0,"",G258*55+H258*50+I258*50)</f>
        <v/>
      </c>
      <c r="K258" s="16"/>
      <c r="L258" s="16"/>
      <c r="M258" s="16"/>
      <c r="N258" s="17" t="str">
        <f aca="false">IF(COUNT(K258:M258)=0,"",MAX(K258:M258))</f>
        <v/>
      </c>
      <c r="O258" s="18" t="str">
        <f aca="false">IF(N258="","",IF(N258&gt;=7,"Sin pliometría ni velocidad. Solo isométricos, movilidad y tren superior. Valoración médica",IF(N258&gt;=4,"Sin pliometría el lunes. Sentadilla española 5x45 s","Sesión normal")))</f>
        <v/>
      </c>
      <c r="P258" s="16"/>
      <c r="Q258" s="16"/>
    </row>
    <row r="259" customFormat="false" ht="15" hidden="false" customHeight="false" outlineLevel="0" collapsed="false">
      <c r="A259" s="13" t="n">
        <v>19</v>
      </c>
      <c r="B259" s="14" t="n">
        <v>46398</v>
      </c>
      <c r="C259" s="13" t="s">
        <v>85</v>
      </c>
      <c r="D259" s="13" t="s">
        <v>86</v>
      </c>
      <c r="E259" s="13" t="n">
        <v>6</v>
      </c>
      <c r="F259" s="15" t="str">
        <f aca="false">Jugadores!$B$7</f>
        <v>Jugador 3</v>
      </c>
      <c r="G259" s="16"/>
      <c r="H259" s="16"/>
      <c r="I259" s="16"/>
      <c r="J259" s="17" t="str">
        <f aca="false">IF(COUNT(G259:I259)=0,"",G259*55+H259*50+I259*50)</f>
        <v/>
      </c>
      <c r="K259" s="16"/>
      <c r="L259" s="16"/>
      <c r="M259" s="16"/>
      <c r="N259" s="17" t="str">
        <f aca="false">IF(COUNT(K259:M259)=0,"",MAX(K259:M259))</f>
        <v/>
      </c>
      <c r="O259" s="18" t="str">
        <f aca="false">IF(N259="","",IF(N259&gt;=7,"Sin pliometría ni velocidad. Solo isométricos, movilidad y tren superior. Valoración médica",IF(N259&gt;=4,"Sin pliometría el lunes. Sentadilla española 5x45 s","Sesión normal")))</f>
        <v/>
      </c>
      <c r="P259" s="16"/>
      <c r="Q259" s="16"/>
    </row>
    <row r="260" customFormat="false" ht="15" hidden="false" customHeight="false" outlineLevel="0" collapsed="false">
      <c r="A260" s="13" t="n">
        <v>19</v>
      </c>
      <c r="B260" s="14" t="n">
        <v>46398</v>
      </c>
      <c r="C260" s="13" t="s">
        <v>85</v>
      </c>
      <c r="D260" s="13" t="s">
        <v>86</v>
      </c>
      <c r="E260" s="13" t="n">
        <v>6</v>
      </c>
      <c r="F260" s="15" t="str">
        <f aca="false">Jugadores!$B$8</f>
        <v>Jugador 4</v>
      </c>
      <c r="G260" s="16"/>
      <c r="H260" s="16"/>
      <c r="I260" s="16"/>
      <c r="J260" s="17" t="str">
        <f aca="false">IF(COUNT(G260:I260)=0,"",G260*55+H260*50+I260*50)</f>
        <v/>
      </c>
      <c r="K260" s="16"/>
      <c r="L260" s="16"/>
      <c r="M260" s="16"/>
      <c r="N260" s="17" t="str">
        <f aca="false">IF(COUNT(K260:M260)=0,"",MAX(K260:M260))</f>
        <v/>
      </c>
      <c r="O260" s="18" t="str">
        <f aca="false">IF(N260="","",IF(N260&gt;=7,"Sin pliometría ni velocidad. Solo isométricos, movilidad y tren superior. Valoración médica",IF(N260&gt;=4,"Sin pliometría el lunes. Sentadilla española 5x45 s","Sesión normal")))</f>
        <v/>
      </c>
      <c r="P260" s="16"/>
      <c r="Q260" s="16"/>
    </row>
    <row r="261" customFormat="false" ht="15" hidden="false" customHeight="false" outlineLevel="0" collapsed="false">
      <c r="A261" s="13" t="n">
        <v>19</v>
      </c>
      <c r="B261" s="14" t="n">
        <v>46398</v>
      </c>
      <c r="C261" s="13" t="s">
        <v>85</v>
      </c>
      <c r="D261" s="13" t="s">
        <v>86</v>
      </c>
      <c r="E261" s="13" t="n">
        <v>6</v>
      </c>
      <c r="F261" s="15" t="str">
        <f aca="false">Jugadores!$B$9</f>
        <v>Jugador 5</v>
      </c>
      <c r="G261" s="16"/>
      <c r="H261" s="16"/>
      <c r="I261" s="16"/>
      <c r="J261" s="17" t="str">
        <f aca="false">IF(COUNT(G261:I261)=0,"",G261*55+H261*50+I261*50)</f>
        <v/>
      </c>
      <c r="K261" s="16"/>
      <c r="L261" s="16"/>
      <c r="M261" s="16"/>
      <c r="N261" s="17" t="str">
        <f aca="false">IF(COUNT(K261:M261)=0,"",MAX(K261:M261))</f>
        <v/>
      </c>
      <c r="O261" s="18" t="str">
        <f aca="false">IF(N261="","",IF(N261&gt;=7,"Sin pliometría ni velocidad. Solo isométricos, movilidad y tren superior. Valoración médica",IF(N261&gt;=4,"Sin pliometría el lunes. Sentadilla española 5x45 s","Sesión normal")))</f>
        <v/>
      </c>
      <c r="P261" s="16"/>
      <c r="Q261" s="16"/>
    </row>
    <row r="262" customFormat="false" ht="15" hidden="false" customHeight="false" outlineLevel="0" collapsed="false">
      <c r="A262" s="13" t="n">
        <v>19</v>
      </c>
      <c r="B262" s="14" t="n">
        <v>46398</v>
      </c>
      <c r="C262" s="13" t="s">
        <v>85</v>
      </c>
      <c r="D262" s="13" t="s">
        <v>86</v>
      </c>
      <c r="E262" s="13" t="n">
        <v>6</v>
      </c>
      <c r="F262" s="15" t="str">
        <f aca="false">Jugadores!$B$10</f>
        <v>Jugador 6</v>
      </c>
      <c r="G262" s="16"/>
      <c r="H262" s="16"/>
      <c r="I262" s="16"/>
      <c r="J262" s="17" t="str">
        <f aca="false">IF(COUNT(G262:I262)=0,"",G262*55+H262*50+I262*50)</f>
        <v/>
      </c>
      <c r="K262" s="16"/>
      <c r="L262" s="16"/>
      <c r="M262" s="16"/>
      <c r="N262" s="17" t="str">
        <f aca="false">IF(COUNT(K262:M262)=0,"",MAX(K262:M262))</f>
        <v/>
      </c>
      <c r="O262" s="18" t="str">
        <f aca="false">IF(N262="","",IF(N262&gt;=7,"Sin pliometría ni velocidad. Solo isométricos, movilidad y tren superior. Valoración médica",IF(N262&gt;=4,"Sin pliometría el lunes. Sentadilla española 5x45 s","Sesión normal")))</f>
        <v/>
      </c>
      <c r="P262" s="16"/>
      <c r="Q262" s="16"/>
    </row>
    <row r="263" customFormat="false" ht="15" hidden="false" customHeight="false" outlineLevel="0" collapsed="false">
      <c r="A263" s="13" t="n">
        <v>19</v>
      </c>
      <c r="B263" s="14" t="n">
        <v>46398</v>
      </c>
      <c r="C263" s="13" t="s">
        <v>85</v>
      </c>
      <c r="D263" s="13" t="s">
        <v>86</v>
      </c>
      <c r="E263" s="13" t="n">
        <v>6</v>
      </c>
      <c r="F263" s="15" t="str">
        <f aca="false">Jugadores!$B$11</f>
        <v>Jugador 7</v>
      </c>
      <c r="G263" s="16"/>
      <c r="H263" s="16"/>
      <c r="I263" s="16"/>
      <c r="J263" s="17" t="str">
        <f aca="false">IF(COUNT(G263:I263)=0,"",G263*55+H263*50+I263*50)</f>
        <v/>
      </c>
      <c r="K263" s="16"/>
      <c r="L263" s="16"/>
      <c r="M263" s="16"/>
      <c r="N263" s="17" t="str">
        <f aca="false">IF(COUNT(K263:M263)=0,"",MAX(K263:M263))</f>
        <v/>
      </c>
      <c r="O263" s="18" t="str">
        <f aca="false">IF(N263="","",IF(N263&gt;=7,"Sin pliometría ni velocidad. Solo isométricos, movilidad y tren superior. Valoración médica",IF(N263&gt;=4,"Sin pliometría el lunes. Sentadilla española 5x45 s","Sesión normal")))</f>
        <v/>
      </c>
      <c r="P263" s="16"/>
      <c r="Q263" s="16"/>
    </row>
    <row r="264" customFormat="false" ht="15" hidden="false" customHeight="false" outlineLevel="0" collapsed="false">
      <c r="A264" s="13" t="n">
        <v>19</v>
      </c>
      <c r="B264" s="14" t="n">
        <v>46398</v>
      </c>
      <c r="C264" s="13" t="s">
        <v>85</v>
      </c>
      <c r="D264" s="13" t="s">
        <v>86</v>
      </c>
      <c r="E264" s="13" t="n">
        <v>6</v>
      </c>
      <c r="F264" s="15" t="str">
        <f aca="false">Jugadores!$B$12</f>
        <v>Jugador 8</v>
      </c>
      <c r="G264" s="16"/>
      <c r="H264" s="16"/>
      <c r="I264" s="16"/>
      <c r="J264" s="17" t="str">
        <f aca="false">IF(COUNT(G264:I264)=0,"",G264*55+H264*50+I264*50)</f>
        <v/>
      </c>
      <c r="K264" s="16"/>
      <c r="L264" s="16"/>
      <c r="M264" s="16"/>
      <c r="N264" s="17" t="str">
        <f aca="false">IF(COUNT(K264:M264)=0,"",MAX(K264:M264))</f>
        <v/>
      </c>
      <c r="O264" s="18" t="str">
        <f aca="false">IF(N264="","",IF(N264&gt;=7,"Sin pliometría ni velocidad. Solo isométricos, movilidad y tren superior. Valoración médica",IF(N264&gt;=4,"Sin pliometría el lunes. Sentadilla española 5x45 s","Sesión normal")))</f>
        <v/>
      </c>
      <c r="P264" s="16"/>
      <c r="Q264" s="16"/>
    </row>
    <row r="265" customFormat="false" ht="15" hidden="false" customHeight="false" outlineLevel="0" collapsed="false">
      <c r="A265" s="13" t="n">
        <v>19</v>
      </c>
      <c r="B265" s="14" t="n">
        <v>46398</v>
      </c>
      <c r="C265" s="13" t="s">
        <v>85</v>
      </c>
      <c r="D265" s="13" t="s">
        <v>86</v>
      </c>
      <c r="E265" s="13" t="n">
        <v>6</v>
      </c>
      <c r="F265" s="15" t="str">
        <f aca="false">Jugadores!$B$13</f>
        <v>Jugador 9</v>
      </c>
      <c r="G265" s="16"/>
      <c r="H265" s="16"/>
      <c r="I265" s="16"/>
      <c r="J265" s="17" t="str">
        <f aca="false">IF(COUNT(G265:I265)=0,"",G265*55+H265*50+I265*50)</f>
        <v/>
      </c>
      <c r="K265" s="16"/>
      <c r="L265" s="16"/>
      <c r="M265" s="16"/>
      <c r="N265" s="17" t="str">
        <f aca="false">IF(COUNT(K265:M265)=0,"",MAX(K265:M265))</f>
        <v/>
      </c>
      <c r="O265" s="18" t="str">
        <f aca="false">IF(N265="","",IF(N265&gt;=7,"Sin pliometría ni velocidad. Solo isométricos, movilidad y tren superior. Valoración médica",IF(N265&gt;=4,"Sin pliometría el lunes. Sentadilla española 5x45 s","Sesión normal")))</f>
        <v/>
      </c>
      <c r="P265" s="16"/>
      <c r="Q265" s="16"/>
    </row>
    <row r="266" customFormat="false" ht="15" hidden="false" customHeight="false" outlineLevel="0" collapsed="false">
      <c r="A266" s="13" t="n">
        <v>19</v>
      </c>
      <c r="B266" s="14" t="n">
        <v>46398</v>
      </c>
      <c r="C266" s="13" t="s">
        <v>85</v>
      </c>
      <c r="D266" s="13" t="s">
        <v>86</v>
      </c>
      <c r="E266" s="13" t="n">
        <v>6</v>
      </c>
      <c r="F266" s="15" t="str">
        <f aca="false">Jugadores!$B$14</f>
        <v>Jugador 10</v>
      </c>
      <c r="G266" s="16"/>
      <c r="H266" s="16"/>
      <c r="I266" s="16"/>
      <c r="J266" s="17" t="str">
        <f aca="false">IF(COUNT(G266:I266)=0,"",G266*55+H266*50+I266*50)</f>
        <v/>
      </c>
      <c r="K266" s="16"/>
      <c r="L266" s="16"/>
      <c r="M266" s="16"/>
      <c r="N266" s="17" t="str">
        <f aca="false">IF(COUNT(K266:M266)=0,"",MAX(K266:M266))</f>
        <v/>
      </c>
      <c r="O266" s="18" t="str">
        <f aca="false">IF(N266="","",IF(N266&gt;=7,"Sin pliometría ni velocidad. Solo isométricos, movilidad y tren superior. Valoración médica",IF(N266&gt;=4,"Sin pliometría el lunes. Sentadilla española 5x45 s","Sesión normal")))</f>
        <v/>
      </c>
      <c r="P266" s="16"/>
      <c r="Q266" s="16"/>
    </row>
    <row r="267" customFormat="false" ht="15" hidden="false" customHeight="false" outlineLevel="0" collapsed="false">
      <c r="A267" s="13" t="n">
        <v>19</v>
      </c>
      <c r="B267" s="14" t="n">
        <v>46398</v>
      </c>
      <c r="C267" s="13" t="s">
        <v>85</v>
      </c>
      <c r="D267" s="13" t="s">
        <v>86</v>
      </c>
      <c r="E267" s="13" t="n">
        <v>6</v>
      </c>
      <c r="F267" s="15" t="str">
        <f aca="false">Jugadores!$B$15</f>
        <v>Jugador 11</v>
      </c>
      <c r="G267" s="16"/>
      <c r="H267" s="16"/>
      <c r="I267" s="16"/>
      <c r="J267" s="17" t="str">
        <f aca="false">IF(COUNT(G267:I267)=0,"",G267*55+H267*50+I267*50)</f>
        <v/>
      </c>
      <c r="K267" s="16"/>
      <c r="L267" s="16"/>
      <c r="M267" s="16"/>
      <c r="N267" s="17" t="str">
        <f aca="false">IF(COUNT(K267:M267)=0,"",MAX(K267:M267))</f>
        <v/>
      </c>
      <c r="O267" s="18" t="str">
        <f aca="false">IF(N267="","",IF(N267&gt;=7,"Sin pliometría ni velocidad. Solo isométricos, movilidad y tren superior. Valoración médica",IF(N267&gt;=4,"Sin pliometría el lunes. Sentadilla española 5x45 s","Sesión normal")))</f>
        <v/>
      </c>
      <c r="P267" s="16"/>
      <c r="Q267" s="16"/>
    </row>
    <row r="268" customFormat="false" ht="15" hidden="false" customHeight="false" outlineLevel="0" collapsed="false">
      <c r="A268" s="13" t="n">
        <v>19</v>
      </c>
      <c r="B268" s="14" t="n">
        <v>46398</v>
      </c>
      <c r="C268" s="13" t="s">
        <v>85</v>
      </c>
      <c r="D268" s="13" t="s">
        <v>86</v>
      </c>
      <c r="E268" s="13" t="n">
        <v>6</v>
      </c>
      <c r="F268" s="15" t="str">
        <f aca="false">Jugadores!$B$16</f>
        <v>Jugador 12</v>
      </c>
      <c r="G268" s="16"/>
      <c r="H268" s="16"/>
      <c r="I268" s="16"/>
      <c r="J268" s="17" t="str">
        <f aca="false">IF(COUNT(G268:I268)=0,"",G268*55+H268*50+I268*50)</f>
        <v/>
      </c>
      <c r="K268" s="16"/>
      <c r="L268" s="16"/>
      <c r="M268" s="16"/>
      <c r="N268" s="17" t="str">
        <f aca="false">IF(COUNT(K268:M268)=0,"",MAX(K268:M268))</f>
        <v/>
      </c>
      <c r="O268" s="18" t="str">
        <f aca="false">IF(N268="","",IF(N268&gt;=7,"Sin pliometría ni velocidad. Solo isométricos, movilidad y tren superior. Valoración médica",IF(N268&gt;=4,"Sin pliometría el lunes. Sentadilla española 5x45 s","Sesión normal")))</f>
        <v/>
      </c>
      <c r="P268" s="16"/>
      <c r="Q268" s="16"/>
    </row>
    <row r="269" customFormat="false" ht="15" hidden="false" customHeight="false" outlineLevel="0" collapsed="false">
      <c r="A269" s="13" t="n">
        <v>19</v>
      </c>
      <c r="B269" s="14" t="n">
        <v>46398</v>
      </c>
      <c r="C269" s="13" t="s">
        <v>85</v>
      </c>
      <c r="D269" s="13" t="s">
        <v>86</v>
      </c>
      <c r="E269" s="13" t="n">
        <v>6</v>
      </c>
      <c r="F269" s="15" t="str">
        <f aca="false">Jugadores!$B$17</f>
        <v>Jugador 13</v>
      </c>
      <c r="G269" s="16"/>
      <c r="H269" s="16"/>
      <c r="I269" s="16"/>
      <c r="J269" s="17" t="str">
        <f aca="false">IF(COUNT(G269:I269)=0,"",G269*55+H269*50+I269*50)</f>
        <v/>
      </c>
      <c r="K269" s="16"/>
      <c r="L269" s="16"/>
      <c r="M269" s="16"/>
      <c r="N269" s="17" t="str">
        <f aca="false">IF(COUNT(K269:M269)=0,"",MAX(K269:M269))</f>
        <v/>
      </c>
      <c r="O269" s="18" t="str">
        <f aca="false">IF(N269="","",IF(N269&gt;=7,"Sin pliometría ni velocidad. Solo isométricos, movilidad y tren superior. Valoración médica",IF(N269&gt;=4,"Sin pliometría el lunes. Sentadilla española 5x45 s","Sesión normal")))</f>
        <v/>
      </c>
      <c r="P269" s="16"/>
      <c r="Q269" s="16"/>
    </row>
    <row r="270" customFormat="false" ht="15" hidden="false" customHeight="false" outlineLevel="0" collapsed="false">
      <c r="A270" s="13" t="n">
        <v>19</v>
      </c>
      <c r="B270" s="14" t="n">
        <v>46398</v>
      </c>
      <c r="C270" s="13" t="s">
        <v>85</v>
      </c>
      <c r="D270" s="13" t="s">
        <v>86</v>
      </c>
      <c r="E270" s="13" t="n">
        <v>6</v>
      </c>
      <c r="F270" s="15" t="str">
        <f aca="false">Jugadores!$B$18</f>
        <v>Jugador 14</v>
      </c>
      <c r="G270" s="16"/>
      <c r="H270" s="16"/>
      <c r="I270" s="16"/>
      <c r="J270" s="17" t="str">
        <f aca="false">IF(COUNT(G270:I270)=0,"",G270*55+H270*50+I270*50)</f>
        <v/>
      </c>
      <c r="K270" s="16"/>
      <c r="L270" s="16"/>
      <c r="M270" s="16"/>
      <c r="N270" s="17" t="str">
        <f aca="false">IF(COUNT(K270:M270)=0,"",MAX(K270:M270))</f>
        <v/>
      </c>
      <c r="O270" s="18" t="str">
        <f aca="false">IF(N270="","",IF(N270&gt;=7,"Sin pliometría ni velocidad. Solo isométricos, movilidad y tren superior. Valoración médica",IF(N270&gt;=4,"Sin pliometría el lunes. Sentadilla española 5x45 s","Sesión normal")))</f>
        <v/>
      </c>
      <c r="P270" s="16"/>
      <c r="Q270" s="16"/>
    </row>
    <row r="271" customFormat="false" ht="15" hidden="false" customHeight="false" outlineLevel="0" collapsed="false">
      <c r="A271" s="13" t="n">
        <v>20</v>
      </c>
      <c r="B271" s="14" t="n">
        <v>46405</v>
      </c>
      <c r="C271" s="13" t="s">
        <v>87</v>
      </c>
      <c r="D271" s="13" t="s">
        <v>88</v>
      </c>
      <c r="E271" s="13" t="n">
        <v>5</v>
      </c>
      <c r="F271" s="15" t="str">
        <f aca="false">Jugadores!$B$5</f>
        <v>Jugador 1</v>
      </c>
      <c r="G271" s="16"/>
      <c r="H271" s="16"/>
      <c r="I271" s="16"/>
      <c r="J271" s="17" t="str">
        <f aca="false">IF(COUNT(G271:I271)=0,"",G271*55+H271*50+I271*50)</f>
        <v/>
      </c>
      <c r="K271" s="16"/>
      <c r="L271" s="16"/>
      <c r="M271" s="16"/>
      <c r="N271" s="17" t="str">
        <f aca="false">IF(COUNT(K271:M271)=0,"",MAX(K271:M271))</f>
        <v/>
      </c>
      <c r="O271" s="18" t="str">
        <f aca="false">IF(N271="","",IF(N271&gt;=7,"Sin pliometría ni velocidad. Solo isométricos, movilidad y tren superior. Valoración médica",IF(N271&gt;=4,"Sin pliometría el lunes. Sentadilla española 5x45 s","Sesión normal")))</f>
        <v/>
      </c>
      <c r="P271" s="16"/>
      <c r="Q271" s="16"/>
    </row>
    <row r="272" customFormat="false" ht="15" hidden="false" customHeight="false" outlineLevel="0" collapsed="false">
      <c r="A272" s="13" t="n">
        <v>20</v>
      </c>
      <c r="B272" s="14" t="n">
        <v>46405</v>
      </c>
      <c r="C272" s="13" t="s">
        <v>87</v>
      </c>
      <c r="D272" s="13" t="s">
        <v>88</v>
      </c>
      <c r="E272" s="13" t="n">
        <v>5</v>
      </c>
      <c r="F272" s="15" t="str">
        <f aca="false">Jugadores!$B$6</f>
        <v>Jugador 2</v>
      </c>
      <c r="G272" s="16"/>
      <c r="H272" s="16"/>
      <c r="I272" s="16"/>
      <c r="J272" s="17" t="str">
        <f aca="false">IF(COUNT(G272:I272)=0,"",G272*55+H272*50+I272*50)</f>
        <v/>
      </c>
      <c r="K272" s="16"/>
      <c r="L272" s="16"/>
      <c r="M272" s="16"/>
      <c r="N272" s="17" t="str">
        <f aca="false">IF(COUNT(K272:M272)=0,"",MAX(K272:M272))</f>
        <v/>
      </c>
      <c r="O272" s="18" t="str">
        <f aca="false">IF(N272="","",IF(N272&gt;=7,"Sin pliometría ni velocidad. Solo isométricos, movilidad y tren superior. Valoración médica",IF(N272&gt;=4,"Sin pliometría el lunes. Sentadilla española 5x45 s","Sesión normal")))</f>
        <v/>
      </c>
      <c r="P272" s="16"/>
      <c r="Q272" s="16"/>
    </row>
    <row r="273" customFormat="false" ht="15" hidden="false" customHeight="false" outlineLevel="0" collapsed="false">
      <c r="A273" s="13" t="n">
        <v>20</v>
      </c>
      <c r="B273" s="14" t="n">
        <v>46405</v>
      </c>
      <c r="C273" s="13" t="s">
        <v>87</v>
      </c>
      <c r="D273" s="13" t="s">
        <v>88</v>
      </c>
      <c r="E273" s="13" t="n">
        <v>5</v>
      </c>
      <c r="F273" s="15" t="str">
        <f aca="false">Jugadores!$B$7</f>
        <v>Jugador 3</v>
      </c>
      <c r="G273" s="16"/>
      <c r="H273" s="16"/>
      <c r="I273" s="16"/>
      <c r="J273" s="17" t="str">
        <f aca="false">IF(COUNT(G273:I273)=0,"",G273*55+H273*50+I273*50)</f>
        <v/>
      </c>
      <c r="K273" s="16"/>
      <c r="L273" s="16"/>
      <c r="M273" s="16"/>
      <c r="N273" s="17" t="str">
        <f aca="false">IF(COUNT(K273:M273)=0,"",MAX(K273:M273))</f>
        <v/>
      </c>
      <c r="O273" s="18" t="str">
        <f aca="false">IF(N273="","",IF(N273&gt;=7,"Sin pliometría ni velocidad. Solo isométricos, movilidad y tren superior. Valoración médica",IF(N273&gt;=4,"Sin pliometría el lunes. Sentadilla española 5x45 s","Sesión normal")))</f>
        <v/>
      </c>
      <c r="P273" s="16"/>
      <c r="Q273" s="16"/>
    </row>
    <row r="274" customFormat="false" ht="15" hidden="false" customHeight="false" outlineLevel="0" collapsed="false">
      <c r="A274" s="13" t="n">
        <v>20</v>
      </c>
      <c r="B274" s="14" t="n">
        <v>46405</v>
      </c>
      <c r="C274" s="13" t="s">
        <v>87</v>
      </c>
      <c r="D274" s="13" t="s">
        <v>88</v>
      </c>
      <c r="E274" s="13" t="n">
        <v>5</v>
      </c>
      <c r="F274" s="15" t="str">
        <f aca="false">Jugadores!$B$8</f>
        <v>Jugador 4</v>
      </c>
      <c r="G274" s="16"/>
      <c r="H274" s="16"/>
      <c r="I274" s="16"/>
      <c r="J274" s="17" t="str">
        <f aca="false">IF(COUNT(G274:I274)=0,"",G274*55+H274*50+I274*50)</f>
        <v/>
      </c>
      <c r="K274" s="16"/>
      <c r="L274" s="16"/>
      <c r="M274" s="16"/>
      <c r="N274" s="17" t="str">
        <f aca="false">IF(COUNT(K274:M274)=0,"",MAX(K274:M274))</f>
        <v/>
      </c>
      <c r="O274" s="18" t="str">
        <f aca="false">IF(N274="","",IF(N274&gt;=7,"Sin pliometría ni velocidad. Solo isométricos, movilidad y tren superior. Valoración médica",IF(N274&gt;=4,"Sin pliometría el lunes. Sentadilla española 5x45 s","Sesión normal")))</f>
        <v/>
      </c>
      <c r="P274" s="16"/>
      <c r="Q274" s="16"/>
    </row>
    <row r="275" customFormat="false" ht="15" hidden="false" customHeight="false" outlineLevel="0" collapsed="false">
      <c r="A275" s="13" t="n">
        <v>20</v>
      </c>
      <c r="B275" s="14" t="n">
        <v>46405</v>
      </c>
      <c r="C275" s="13" t="s">
        <v>87</v>
      </c>
      <c r="D275" s="13" t="s">
        <v>88</v>
      </c>
      <c r="E275" s="13" t="n">
        <v>5</v>
      </c>
      <c r="F275" s="15" t="str">
        <f aca="false">Jugadores!$B$9</f>
        <v>Jugador 5</v>
      </c>
      <c r="G275" s="16"/>
      <c r="H275" s="16"/>
      <c r="I275" s="16"/>
      <c r="J275" s="17" t="str">
        <f aca="false">IF(COUNT(G275:I275)=0,"",G275*55+H275*50+I275*50)</f>
        <v/>
      </c>
      <c r="K275" s="16"/>
      <c r="L275" s="16"/>
      <c r="M275" s="16"/>
      <c r="N275" s="17" t="str">
        <f aca="false">IF(COUNT(K275:M275)=0,"",MAX(K275:M275))</f>
        <v/>
      </c>
      <c r="O275" s="18" t="str">
        <f aca="false">IF(N275="","",IF(N275&gt;=7,"Sin pliometría ni velocidad. Solo isométricos, movilidad y tren superior. Valoración médica",IF(N275&gt;=4,"Sin pliometría el lunes. Sentadilla española 5x45 s","Sesión normal")))</f>
        <v/>
      </c>
      <c r="P275" s="16"/>
      <c r="Q275" s="16"/>
    </row>
    <row r="276" customFormat="false" ht="15" hidden="false" customHeight="false" outlineLevel="0" collapsed="false">
      <c r="A276" s="13" t="n">
        <v>20</v>
      </c>
      <c r="B276" s="14" t="n">
        <v>46405</v>
      </c>
      <c r="C276" s="13" t="s">
        <v>87</v>
      </c>
      <c r="D276" s="13" t="s">
        <v>88</v>
      </c>
      <c r="E276" s="13" t="n">
        <v>5</v>
      </c>
      <c r="F276" s="15" t="str">
        <f aca="false">Jugadores!$B$10</f>
        <v>Jugador 6</v>
      </c>
      <c r="G276" s="16"/>
      <c r="H276" s="16"/>
      <c r="I276" s="16"/>
      <c r="J276" s="17" t="str">
        <f aca="false">IF(COUNT(G276:I276)=0,"",G276*55+H276*50+I276*50)</f>
        <v/>
      </c>
      <c r="K276" s="16"/>
      <c r="L276" s="16"/>
      <c r="M276" s="16"/>
      <c r="N276" s="17" t="str">
        <f aca="false">IF(COUNT(K276:M276)=0,"",MAX(K276:M276))</f>
        <v/>
      </c>
      <c r="O276" s="18" t="str">
        <f aca="false">IF(N276="","",IF(N276&gt;=7,"Sin pliometría ni velocidad. Solo isométricos, movilidad y tren superior. Valoración médica",IF(N276&gt;=4,"Sin pliometría el lunes. Sentadilla española 5x45 s","Sesión normal")))</f>
        <v/>
      </c>
      <c r="P276" s="16"/>
      <c r="Q276" s="16"/>
    </row>
    <row r="277" customFormat="false" ht="15" hidden="false" customHeight="false" outlineLevel="0" collapsed="false">
      <c r="A277" s="13" t="n">
        <v>20</v>
      </c>
      <c r="B277" s="14" t="n">
        <v>46405</v>
      </c>
      <c r="C277" s="13" t="s">
        <v>87</v>
      </c>
      <c r="D277" s="13" t="s">
        <v>88</v>
      </c>
      <c r="E277" s="13" t="n">
        <v>5</v>
      </c>
      <c r="F277" s="15" t="str">
        <f aca="false">Jugadores!$B$11</f>
        <v>Jugador 7</v>
      </c>
      <c r="G277" s="16"/>
      <c r="H277" s="16"/>
      <c r="I277" s="16"/>
      <c r="J277" s="17" t="str">
        <f aca="false">IF(COUNT(G277:I277)=0,"",G277*55+H277*50+I277*50)</f>
        <v/>
      </c>
      <c r="K277" s="16"/>
      <c r="L277" s="16"/>
      <c r="M277" s="16"/>
      <c r="N277" s="17" t="str">
        <f aca="false">IF(COUNT(K277:M277)=0,"",MAX(K277:M277))</f>
        <v/>
      </c>
      <c r="O277" s="18" t="str">
        <f aca="false">IF(N277="","",IF(N277&gt;=7,"Sin pliometría ni velocidad. Solo isométricos, movilidad y tren superior. Valoración médica",IF(N277&gt;=4,"Sin pliometría el lunes. Sentadilla española 5x45 s","Sesión normal")))</f>
        <v/>
      </c>
      <c r="P277" s="16"/>
      <c r="Q277" s="16"/>
    </row>
    <row r="278" customFormat="false" ht="15" hidden="false" customHeight="false" outlineLevel="0" collapsed="false">
      <c r="A278" s="13" t="n">
        <v>20</v>
      </c>
      <c r="B278" s="14" t="n">
        <v>46405</v>
      </c>
      <c r="C278" s="13" t="s">
        <v>87</v>
      </c>
      <c r="D278" s="13" t="s">
        <v>88</v>
      </c>
      <c r="E278" s="13" t="n">
        <v>5</v>
      </c>
      <c r="F278" s="15" t="str">
        <f aca="false">Jugadores!$B$12</f>
        <v>Jugador 8</v>
      </c>
      <c r="G278" s="16"/>
      <c r="H278" s="16"/>
      <c r="I278" s="16"/>
      <c r="J278" s="17" t="str">
        <f aca="false">IF(COUNT(G278:I278)=0,"",G278*55+H278*50+I278*50)</f>
        <v/>
      </c>
      <c r="K278" s="16"/>
      <c r="L278" s="16"/>
      <c r="M278" s="16"/>
      <c r="N278" s="17" t="str">
        <f aca="false">IF(COUNT(K278:M278)=0,"",MAX(K278:M278))</f>
        <v/>
      </c>
      <c r="O278" s="18" t="str">
        <f aca="false">IF(N278="","",IF(N278&gt;=7,"Sin pliometría ni velocidad. Solo isométricos, movilidad y tren superior. Valoración médica",IF(N278&gt;=4,"Sin pliometría el lunes. Sentadilla española 5x45 s","Sesión normal")))</f>
        <v/>
      </c>
      <c r="P278" s="16"/>
      <c r="Q278" s="16"/>
    </row>
    <row r="279" customFormat="false" ht="15" hidden="false" customHeight="false" outlineLevel="0" collapsed="false">
      <c r="A279" s="13" t="n">
        <v>20</v>
      </c>
      <c r="B279" s="14" t="n">
        <v>46405</v>
      </c>
      <c r="C279" s="13" t="s">
        <v>87</v>
      </c>
      <c r="D279" s="13" t="s">
        <v>88</v>
      </c>
      <c r="E279" s="13" t="n">
        <v>5</v>
      </c>
      <c r="F279" s="15" t="str">
        <f aca="false">Jugadores!$B$13</f>
        <v>Jugador 9</v>
      </c>
      <c r="G279" s="16"/>
      <c r="H279" s="16"/>
      <c r="I279" s="16"/>
      <c r="J279" s="17" t="str">
        <f aca="false">IF(COUNT(G279:I279)=0,"",G279*55+H279*50+I279*50)</f>
        <v/>
      </c>
      <c r="K279" s="16"/>
      <c r="L279" s="16"/>
      <c r="M279" s="16"/>
      <c r="N279" s="17" t="str">
        <f aca="false">IF(COUNT(K279:M279)=0,"",MAX(K279:M279))</f>
        <v/>
      </c>
      <c r="O279" s="18" t="str">
        <f aca="false">IF(N279="","",IF(N279&gt;=7,"Sin pliometría ni velocidad. Solo isométricos, movilidad y tren superior. Valoración médica",IF(N279&gt;=4,"Sin pliometría el lunes. Sentadilla española 5x45 s","Sesión normal")))</f>
        <v/>
      </c>
      <c r="P279" s="16"/>
      <c r="Q279" s="16"/>
    </row>
    <row r="280" customFormat="false" ht="15" hidden="false" customHeight="false" outlineLevel="0" collapsed="false">
      <c r="A280" s="13" t="n">
        <v>20</v>
      </c>
      <c r="B280" s="14" t="n">
        <v>46405</v>
      </c>
      <c r="C280" s="13" t="s">
        <v>87</v>
      </c>
      <c r="D280" s="13" t="s">
        <v>88</v>
      </c>
      <c r="E280" s="13" t="n">
        <v>5</v>
      </c>
      <c r="F280" s="15" t="str">
        <f aca="false">Jugadores!$B$14</f>
        <v>Jugador 10</v>
      </c>
      <c r="G280" s="16"/>
      <c r="H280" s="16"/>
      <c r="I280" s="16"/>
      <c r="J280" s="17" t="str">
        <f aca="false">IF(COUNT(G280:I280)=0,"",G280*55+H280*50+I280*50)</f>
        <v/>
      </c>
      <c r="K280" s="16"/>
      <c r="L280" s="16"/>
      <c r="M280" s="16"/>
      <c r="N280" s="17" t="str">
        <f aca="false">IF(COUNT(K280:M280)=0,"",MAX(K280:M280))</f>
        <v/>
      </c>
      <c r="O280" s="18" t="str">
        <f aca="false">IF(N280="","",IF(N280&gt;=7,"Sin pliometría ni velocidad. Solo isométricos, movilidad y tren superior. Valoración médica",IF(N280&gt;=4,"Sin pliometría el lunes. Sentadilla española 5x45 s","Sesión normal")))</f>
        <v/>
      </c>
      <c r="P280" s="16"/>
      <c r="Q280" s="16"/>
    </row>
    <row r="281" customFormat="false" ht="15" hidden="false" customHeight="false" outlineLevel="0" collapsed="false">
      <c r="A281" s="13" t="n">
        <v>20</v>
      </c>
      <c r="B281" s="14" t="n">
        <v>46405</v>
      </c>
      <c r="C281" s="13" t="s">
        <v>87</v>
      </c>
      <c r="D281" s="13" t="s">
        <v>88</v>
      </c>
      <c r="E281" s="13" t="n">
        <v>5</v>
      </c>
      <c r="F281" s="15" t="str">
        <f aca="false">Jugadores!$B$15</f>
        <v>Jugador 11</v>
      </c>
      <c r="G281" s="16"/>
      <c r="H281" s="16"/>
      <c r="I281" s="16"/>
      <c r="J281" s="17" t="str">
        <f aca="false">IF(COUNT(G281:I281)=0,"",G281*55+H281*50+I281*50)</f>
        <v/>
      </c>
      <c r="K281" s="16"/>
      <c r="L281" s="16"/>
      <c r="M281" s="16"/>
      <c r="N281" s="17" t="str">
        <f aca="false">IF(COUNT(K281:M281)=0,"",MAX(K281:M281))</f>
        <v/>
      </c>
      <c r="O281" s="18" t="str">
        <f aca="false">IF(N281="","",IF(N281&gt;=7,"Sin pliometría ni velocidad. Solo isométricos, movilidad y tren superior. Valoración médica",IF(N281&gt;=4,"Sin pliometría el lunes. Sentadilla española 5x45 s","Sesión normal")))</f>
        <v/>
      </c>
      <c r="P281" s="16"/>
      <c r="Q281" s="16"/>
    </row>
    <row r="282" customFormat="false" ht="15" hidden="false" customHeight="false" outlineLevel="0" collapsed="false">
      <c r="A282" s="13" t="n">
        <v>20</v>
      </c>
      <c r="B282" s="14" t="n">
        <v>46405</v>
      </c>
      <c r="C282" s="13" t="s">
        <v>87</v>
      </c>
      <c r="D282" s="13" t="s">
        <v>88</v>
      </c>
      <c r="E282" s="13" t="n">
        <v>5</v>
      </c>
      <c r="F282" s="15" t="str">
        <f aca="false">Jugadores!$B$16</f>
        <v>Jugador 12</v>
      </c>
      <c r="G282" s="16"/>
      <c r="H282" s="16"/>
      <c r="I282" s="16"/>
      <c r="J282" s="17" t="str">
        <f aca="false">IF(COUNT(G282:I282)=0,"",G282*55+H282*50+I282*50)</f>
        <v/>
      </c>
      <c r="K282" s="16"/>
      <c r="L282" s="16"/>
      <c r="M282" s="16"/>
      <c r="N282" s="17" t="str">
        <f aca="false">IF(COUNT(K282:M282)=0,"",MAX(K282:M282))</f>
        <v/>
      </c>
      <c r="O282" s="18" t="str">
        <f aca="false">IF(N282="","",IF(N282&gt;=7,"Sin pliometría ni velocidad. Solo isométricos, movilidad y tren superior. Valoración médica",IF(N282&gt;=4,"Sin pliometría el lunes. Sentadilla española 5x45 s","Sesión normal")))</f>
        <v/>
      </c>
      <c r="P282" s="16"/>
      <c r="Q282" s="16"/>
    </row>
    <row r="283" customFormat="false" ht="15" hidden="false" customHeight="false" outlineLevel="0" collapsed="false">
      <c r="A283" s="13" t="n">
        <v>20</v>
      </c>
      <c r="B283" s="14" t="n">
        <v>46405</v>
      </c>
      <c r="C283" s="13" t="s">
        <v>87</v>
      </c>
      <c r="D283" s="13" t="s">
        <v>88</v>
      </c>
      <c r="E283" s="13" t="n">
        <v>5</v>
      </c>
      <c r="F283" s="15" t="str">
        <f aca="false">Jugadores!$B$17</f>
        <v>Jugador 13</v>
      </c>
      <c r="G283" s="16"/>
      <c r="H283" s="16"/>
      <c r="I283" s="16"/>
      <c r="J283" s="17" t="str">
        <f aca="false">IF(COUNT(G283:I283)=0,"",G283*55+H283*50+I283*50)</f>
        <v/>
      </c>
      <c r="K283" s="16"/>
      <c r="L283" s="16"/>
      <c r="M283" s="16"/>
      <c r="N283" s="17" t="str">
        <f aca="false">IF(COUNT(K283:M283)=0,"",MAX(K283:M283))</f>
        <v/>
      </c>
      <c r="O283" s="18" t="str">
        <f aca="false">IF(N283="","",IF(N283&gt;=7,"Sin pliometría ni velocidad. Solo isométricos, movilidad y tren superior. Valoración médica",IF(N283&gt;=4,"Sin pliometría el lunes. Sentadilla española 5x45 s","Sesión normal")))</f>
        <v/>
      </c>
      <c r="P283" s="16"/>
      <c r="Q283" s="16"/>
    </row>
    <row r="284" customFormat="false" ht="15" hidden="false" customHeight="false" outlineLevel="0" collapsed="false">
      <c r="A284" s="13" t="n">
        <v>20</v>
      </c>
      <c r="B284" s="14" t="n">
        <v>46405</v>
      </c>
      <c r="C284" s="13" t="s">
        <v>87</v>
      </c>
      <c r="D284" s="13" t="s">
        <v>88</v>
      </c>
      <c r="E284" s="13" t="n">
        <v>5</v>
      </c>
      <c r="F284" s="15" t="str">
        <f aca="false">Jugadores!$B$18</f>
        <v>Jugador 14</v>
      </c>
      <c r="G284" s="16"/>
      <c r="H284" s="16"/>
      <c r="I284" s="16"/>
      <c r="J284" s="17" t="str">
        <f aca="false">IF(COUNT(G284:I284)=0,"",G284*55+H284*50+I284*50)</f>
        <v/>
      </c>
      <c r="K284" s="16"/>
      <c r="L284" s="16"/>
      <c r="M284" s="16"/>
      <c r="N284" s="17" t="str">
        <f aca="false">IF(COUNT(K284:M284)=0,"",MAX(K284:M284))</f>
        <v/>
      </c>
      <c r="O284" s="18" t="str">
        <f aca="false">IF(N284="","",IF(N284&gt;=7,"Sin pliometría ni velocidad. Solo isométricos, movilidad y tren superior. Valoración médica",IF(N284&gt;=4,"Sin pliometría el lunes. Sentadilla española 5x45 s","Sesión normal")))</f>
        <v/>
      </c>
      <c r="P284" s="16"/>
      <c r="Q284" s="16"/>
    </row>
    <row r="285" customFormat="false" ht="15" hidden="false" customHeight="false" outlineLevel="0" collapsed="false">
      <c r="A285" s="13" t="n">
        <v>21</v>
      </c>
      <c r="B285" s="14" t="n">
        <v>46412</v>
      </c>
      <c r="C285" s="13" t="s">
        <v>87</v>
      </c>
      <c r="D285" s="13" t="s">
        <v>89</v>
      </c>
      <c r="E285" s="13" t="n">
        <v>5</v>
      </c>
      <c r="F285" s="15" t="str">
        <f aca="false">Jugadores!$B$5</f>
        <v>Jugador 1</v>
      </c>
      <c r="G285" s="16"/>
      <c r="H285" s="16"/>
      <c r="I285" s="16"/>
      <c r="J285" s="17" t="str">
        <f aca="false">IF(COUNT(G285:I285)=0,"",G285*55+H285*50+I285*50)</f>
        <v/>
      </c>
      <c r="K285" s="16"/>
      <c r="L285" s="16"/>
      <c r="M285" s="16"/>
      <c r="N285" s="17" t="str">
        <f aca="false">IF(COUNT(K285:M285)=0,"",MAX(K285:M285))</f>
        <v/>
      </c>
      <c r="O285" s="18" t="str">
        <f aca="false">IF(N285="","",IF(N285&gt;=7,"Sin pliometría ni velocidad. Solo isométricos, movilidad y tren superior. Valoración médica",IF(N285&gt;=4,"Sin pliometría el lunes. Sentadilla española 5x45 s","Sesión normal")))</f>
        <v/>
      </c>
      <c r="P285" s="16"/>
      <c r="Q285" s="16"/>
    </row>
    <row r="286" customFormat="false" ht="15" hidden="false" customHeight="false" outlineLevel="0" collapsed="false">
      <c r="A286" s="13" t="n">
        <v>21</v>
      </c>
      <c r="B286" s="14" t="n">
        <v>46412</v>
      </c>
      <c r="C286" s="13" t="s">
        <v>87</v>
      </c>
      <c r="D286" s="13" t="s">
        <v>89</v>
      </c>
      <c r="E286" s="13" t="n">
        <v>5</v>
      </c>
      <c r="F286" s="15" t="str">
        <f aca="false">Jugadores!$B$6</f>
        <v>Jugador 2</v>
      </c>
      <c r="G286" s="16"/>
      <c r="H286" s="16"/>
      <c r="I286" s="16"/>
      <c r="J286" s="17" t="str">
        <f aca="false">IF(COUNT(G286:I286)=0,"",G286*55+H286*50+I286*50)</f>
        <v/>
      </c>
      <c r="K286" s="16"/>
      <c r="L286" s="16"/>
      <c r="M286" s="16"/>
      <c r="N286" s="17" t="str">
        <f aca="false">IF(COUNT(K286:M286)=0,"",MAX(K286:M286))</f>
        <v/>
      </c>
      <c r="O286" s="18" t="str">
        <f aca="false">IF(N286="","",IF(N286&gt;=7,"Sin pliometría ni velocidad. Solo isométricos, movilidad y tren superior. Valoración médica",IF(N286&gt;=4,"Sin pliometría el lunes. Sentadilla española 5x45 s","Sesión normal")))</f>
        <v/>
      </c>
      <c r="P286" s="16"/>
      <c r="Q286" s="16"/>
    </row>
    <row r="287" customFormat="false" ht="15" hidden="false" customHeight="false" outlineLevel="0" collapsed="false">
      <c r="A287" s="13" t="n">
        <v>21</v>
      </c>
      <c r="B287" s="14" t="n">
        <v>46412</v>
      </c>
      <c r="C287" s="13" t="s">
        <v>87</v>
      </c>
      <c r="D287" s="13" t="s">
        <v>89</v>
      </c>
      <c r="E287" s="13" t="n">
        <v>5</v>
      </c>
      <c r="F287" s="15" t="str">
        <f aca="false">Jugadores!$B$7</f>
        <v>Jugador 3</v>
      </c>
      <c r="G287" s="16"/>
      <c r="H287" s="16"/>
      <c r="I287" s="16"/>
      <c r="J287" s="17" t="str">
        <f aca="false">IF(COUNT(G287:I287)=0,"",G287*55+H287*50+I287*50)</f>
        <v/>
      </c>
      <c r="K287" s="16"/>
      <c r="L287" s="16"/>
      <c r="M287" s="16"/>
      <c r="N287" s="17" t="str">
        <f aca="false">IF(COUNT(K287:M287)=0,"",MAX(K287:M287))</f>
        <v/>
      </c>
      <c r="O287" s="18" t="str">
        <f aca="false">IF(N287="","",IF(N287&gt;=7,"Sin pliometría ni velocidad. Solo isométricos, movilidad y tren superior. Valoración médica",IF(N287&gt;=4,"Sin pliometría el lunes. Sentadilla española 5x45 s","Sesión normal")))</f>
        <v/>
      </c>
      <c r="P287" s="16"/>
      <c r="Q287" s="16"/>
    </row>
    <row r="288" customFormat="false" ht="15" hidden="false" customHeight="false" outlineLevel="0" collapsed="false">
      <c r="A288" s="13" t="n">
        <v>21</v>
      </c>
      <c r="B288" s="14" t="n">
        <v>46412</v>
      </c>
      <c r="C288" s="13" t="s">
        <v>87</v>
      </c>
      <c r="D288" s="13" t="s">
        <v>89</v>
      </c>
      <c r="E288" s="13" t="n">
        <v>5</v>
      </c>
      <c r="F288" s="15" t="str">
        <f aca="false">Jugadores!$B$8</f>
        <v>Jugador 4</v>
      </c>
      <c r="G288" s="16"/>
      <c r="H288" s="16"/>
      <c r="I288" s="16"/>
      <c r="J288" s="17" t="str">
        <f aca="false">IF(COUNT(G288:I288)=0,"",G288*55+H288*50+I288*50)</f>
        <v/>
      </c>
      <c r="K288" s="16"/>
      <c r="L288" s="16"/>
      <c r="M288" s="16"/>
      <c r="N288" s="17" t="str">
        <f aca="false">IF(COUNT(K288:M288)=0,"",MAX(K288:M288))</f>
        <v/>
      </c>
      <c r="O288" s="18" t="str">
        <f aca="false">IF(N288="","",IF(N288&gt;=7,"Sin pliometría ni velocidad. Solo isométricos, movilidad y tren superior. Valoración médica",IF(N288&gt;=4,"Sin pliometría el lunes. Sentadilla española 5x45 s","Sesión normal")))</f>
        <v/>
      </c>
      <c r="P288" s="16"/>
      <c r="Q288" s="16"/>
    </row>
    <row r="289" customFormat="false" ht="15" hidden="false" customHeight="false" outlineLevel="0" collapsed="false">
      <c r="A289" s="13" t="n">
        <v>21</v>
      </c>
      <c r="B289" s="14" t="n">
        <v>46412</v>
      </c>
      <c r="C289" s="13" t="s">
        <v>87</v>
      </c>
      <c r="D289" s="13" t="s">
        <v>89</v>
      </c>
      <c r="E289" s="13" t="n">
        <v>5</v>
      </c>
      <c r="F289" s="15" t="str">
        <f aca="false">Jugadores!$B$9</f>
        <v>Jugador 5</v>
      </c>
      <c r="G289" s="16"/>
      <c r="H289" s="16"/>
      <c r="I289" s="16"/>
      <c r="J289" s="17" t="str">
        <f aca="false">IF(COUNT(G289:I289)=0,"",G289*55+H289*50+I289*50)</f>
        <v/>
      </c>
      <c r="K289" s="16"/>
      <c r="L289" s="16"/>
      <c r="M289" s="16"/>
      <c r="N289" s="17" t="str">
        <f aca="false">IF(COUNT(K289:M289)=0,"",MAX(K289:M289))</f>
        <v/>
      </c>
      <c r="O289" s="18" t="str">
        <f aca="false">IF(N289="","",IF(N289&gt;=7,"Sin pliometría ni velocidad. Solo isométricos, movilidad y tren superior. Valoración médica",IF(N289&gt;=4,"Sin pliometría el lunes. Sentadilla española 5x45 s","Sesión normal")))</f>
        <v/>
      </c>
      <c r="P289" s="16"/>
      <c r="Q289" s="16"/>
    </row>
    <row r="290" customFormat="false" ht="15" hidden="false" customHeight="false" outlineLevel="0" collapsed="false">
      <c r="A290" s="13" t="n">
        <v>21</v>
      </c>
      <c r="B290" s="14" t="n">
        <v>46412</v>
      </c>
      <c r="C290" s="13" t="s">
        <v>87</v>
      </c>
      <c r="D290" s="13" t="s">
        <v>89</v>
      </c>
      <c r="E290" s="13" t="n">
        <v>5</v>
      </c>
      <c r="F290" s="15" t="str">
        <f aca="false">Jugadores!$B$10</f>
        <v>Jugador 6</v>
      </c>
      <c r="G290" s="16"/>
      <c r="H290" s="16"/>
      <c r="I290" s="16"/>
      <c r="J290" s="17" t="str">
        <f aca="false">IF(COUNT(G290:I290)=0,"",G290*55+H290*50+I290*50)</f>
        <v/>
      </c>
      <c r="K290" s="16"/>
      <c r="L290" s="16"/>
      <c r="M290" s="16"/>
      <c r="N290" s="17" t="str">
        <f aca="false">IF(COUNT(K290:M290)=0,"",MAX(K290:M290))</f>
        <v/>
      </c>
      <c r="O290" s="18" t="str">
        <f aca="false">IF(N290="","",IF(N290&gt;=7,"Sin pliometría ni velocidad. Solo isométricos, movilidad y tren superior. Valoración médica",IF(N290&gt;=4,"Sin pliometría el lunes. Sentadilla española 5x45 s","Sesión normal")))</f>
        <v/>
      </c>
      <c r="P290" s="16"/>
      <c r="Q290" s="16"/>
    </row>
    <row r="291" customFormat="false" ht="15" hidden="false" customHeight="false" outlineLevel="0" collapsed="false">
      <c r="A291" s="13" t="n">
        <v>21</v>
      </c>
      <c r="B291" s="14" t="n">
        <v>46412</v>
      </c>
      <c r="C291" s="13" t="s">
        <v>87</v>
      </c>
      <c r="D291" s="13" t="s">
        <v>89</v>
      </c>
      <c r="E291" s="13" t="n">
        <v>5</v>
      </c>
      <c r="F291" s="15" t="str">
        <f aca="false">Jugadores!$B$11</f>
        <v>Jugador 7</v>
      </c>
      <c r="G291" s="16"/>
      <c r="H291" s="16"/>
      <c r="I291" s="16"/>
      <c r="J291" s="17" t="str">
        <f aca="false">IF(COUNT(G291:I291)=0,"",G291*55+H291*50+I291*50)</f>
        <v/>
      </c>
      <c r="K291" s="16"/>
      <c r="L291" s="16"/>
      <c r="M291" s="16"/>
      <c r="N291" s="17" t="str">
        <f aca="false">IF(COUNT(K291:M291)=0,"",MAX(K291:M291))</f>
        <v/>
      </c>
      <c r="O291" s="18" t="str">
        <f aca="false">IF(N291="","",IF(N291&gt;=7,"Sin pliometría ni velocidad. Solo isométricos, movilidad y tren superior. Valoración médica",IF(N291&gt;=4,"Sin pliometría el lunes. Sentadilla española 5x45 s","Sesión normal")))</f>
        <v/>
      </c>
      <c r="P291" s="16"/>
      <c r="Q291" s="16"/>
    </row>
    <row r="292" customFormat="false" ht="15" hidden="false" customHeight="false" outlineLevel="0" collapsed="false">
      <c r="A292" s="13" t="n">
        <v>21</v>
      </c>
      <c r="B292" s="14" t="n">
        <v>46412</v>
      </c>
      <c r="C292" s="13" t="s">
        <v>87</v>
      </c>
      <c r="D292" s="13" t="s">
        <v>89</v>
      </c>
      <c r="E292" s="13" t="n">
        <v>5</v>
      </c>
      <c r="F292" s="15" t="str">
        <f aca="false">Jugadores!$B$12</f>
        <v>Jugador 8</v>
      </c>
      <c r="G292" s="16"/>
      <c r="H292" s="16"/>
      <c r="I292" s="16"/>
      <c r="J292" s="17" t="str">
        <f aca="false">IF(COUNT(G292:I292)=0,"",G292*55+H292*50+I292*50)</f>
        <v/>
      </c>
      <c r="K292" s="16"/>
      <c r="L292" s="16"/>
      <c r="M292" s="16"/>
      <c r="N292" s="17" t="str">
        <f aca="false">IF(COUNT(K292:M292)=0,"",MAX(K292:M292))</f>
        <v/>
      </c>
      <c r="O292" s="18" t="str">
        <f aca="false">IF(N292="","",IF(N292&gt;=7,"Sin pliometría ni velocidad. Solo isométricos, movilidad y tren superior. Valoración médica",IF(N292&gt;=4,"Sin pliometría el lunes. Sentadilla española 5x45 s","Sesión normal")))</f>
        <v/>
      </c>
      <c r="P292" s="16"/>
      <c r="Q292" s="16"/>
    </row>
    <row r="293" customFormat="false" ht="15" hidden="false" customHeight="false" outlineLevel="0" collapsed="false">
      <c r="A293" s="13" t="n">
        <v>21</v>
      </c>
      <c r="B293" s="14" t="n">
        <v>46412</v>
      </c>
      <c r="C293" s="13" t="s">
        <v>87</v>
      </c>
      <c r="D293" s="13" t="s">
        <v>89</v>
      </c>
      <c r="E293" s="13" t="n">
        <v>5</v>
      </c>
      <c r="F293" s="15" t="str">
        <f aca="false">Jugadores!$B$13</f>
        <v>Jugador 9</v>
      </c>
      <c r="G293" s="16"/>
      <c r="H293" s="16"/>
      <c r="I293" s="16"/>
      <c r="J293" s="17" t="str">
        <f aca="false">IF(COUNT(G293:I293)=0,"",G293*55+H293*50+I293*50)</f>
        <v/>
      </c>
      <c r="K293" s="16"/>
      <c r="L293" s="16"/>
      <c r="M293" s="16"/>
      <c r="N293" s="17" t="str">
        <f aca="false">IF(COUNT(K293:M293)=0,"",MAX(K293:M293))</f>
        <v/>
      </c>
      <c r="O293" s="18" t="str">
        <f aca="false">IF(N293="","",IF(N293&gt;=7,"Sin pliometría ni velocidad. Solo isométricos, movilidad y tren superior. Valoración médica",IF(N293&gt;=4,"Sin pliometría el lunes. Sentadilla española 5x45 s","Sesión normal")))</f>
        <v/>
      </c>
      <c r="P293" s="16"/>
      <c r="Q293" s="16"/>
    </row>
    <row r="294" customFormat="false" ht="15" hidden="false" customHeight="false" outlineLevel="0" collapsed="false">
      <c r="A294" s="13" t="n">
        <v>21</v>
      </c>
      <c r="B294" s="14" t="n">
        <v>46412</v>
      </c>
      <c r="C294" s="13" t="s">
        <v>87</v>
      </c>
      <c r="D294" s="13" t="s">
        <v>89</v>
      </c>
      <c r="E294" s="13" t="n">
        <v>5</v>
      </c>
      <c r="F294" s="15" t="str">
        <f aca="false">Jugadores!$B$14</f>
        <v>Jugador 10</v>
      </c>
      <c r="G294" s="16"/>
      <c r="H294" s="16"/>
      <c r="I294" s="16"/>
      <c r="J294" s="17" t="str">
        <f aca="false">IF(COUNT(G294:I294)=0,"",G294*55+H294*50+I294*50)</f>
        <v/>
      </c>
      <c r="K294" s="16"/>
      <c r="L294" s="16"/>
      <c r="M294" s="16"/>
      <c r="N294" s="17" t="str">
        <f aca="false">IF(COUNT(K294:M294)=0,"",MAX(K294:M294))</f>
        <v/>
      </c>
      <c r="O294" s="18" t="str">
        <f aca="false">IF(N294="","",IF(N294&gt;=7,"Sin pliometría ni velocidad. Solo isométricos, movilidad y tren superior. Valoración médica",IF(N294&gt;=4,"Sin pliometría el lunes. Sentadilla española 5x45 s","Sesión normal")))</f>
        <v/>
      </c>
      <c r="P294" s="16"/>
      <c r="Q294" s="16"/>
    </row>
    <row r="295" customFormat="false" ht="15" hidden="false" customHeight="false" outlineLevel="0" collapsed="false">
      <c r="A295" s="13" t="n">
        <v>21</v>
      </c>
      <c r="B295" s="14" t="n">
        <v>46412</v>
      </c>
      <c r="C295" s="13" t="s">
        <v>87</v>
      </c>
      <c r="D295" s="13" t="s">
        <v>89</v>
      </c>
      <c r="E295" s="13" t="n">
        <v>5</v>
      </c>
      <c r="F295" s="15" t="str">
        <f aca="false">Jugadores!$B$15</f>
        <v>Jugador 11</v>
      </c>
      <c r="G295" s="16"/>
      <c r="H295" s="16"/>
      <c r="I295" s="16"/>
      <c r="J295" s="17" t="str">
        <f aca="false">IF(COUNT(G295:I295)=0,"",G295*55+H295*50+I295*50)</f>
        <v/>
      </c>
      <c r="K295" s="16"/>
      <c r="L295" s="16"/>
      <c r="M295" s="16"/>
      <c r="N295" s="17" t="str">
        <f aca="false">IF(COUNT(K295:M295)=0,"",MAX(K295:M295))</f>
        <v/>
      </c>
      <c r="O295" s="18" t="str">
        <f aca="false">IF(N295="","",IF(N295&gt;=7,"Sin pliometría ni velocidad. Solo isométricos, movilidad y tren superior. Valoración médica",IF(N295&gt;=4,"Sin pliometría el lunes. Sentadilla española 5x45 s","Sesión normal")))</f>
        <v/>
      </c>
      <c r="P295" s="16"/>
      <c r="Q295" s="16"/>
    </row>
    <row r="296" customFormat="false" ht="15" hidden="false" customHeight="false" outlineLevel="0" collapsed="false">
      <c r="A296" s="13" t="n">
        <v>21</v>
      </c>
      <c r="B296" s="14" t="n">
        <v>46412</v>
      </c>
      <c r="C296" s="13" t="s">
        <v>87</v>
      </c>
      <c r="D296" s="13" t="s">
        <v>89</v>
      </c>
      <c r="E296" s="13" t="n">
        <v>5</v>
      </c>
      <c r="F296" s="15" t="str">
        <f aca="false">Jugadores!$B$16</f>
        <v>Jugador 12</v>
      </c>
      <c r="G296" s="16"/>
      <c r="H296" s="16"/>
      <c r="I296" s="16"/>
      <c r="J296" s="17" t="str">
        <f aca="false">IF(COUNT(G296:I296)=0,"",G296*55+H296*50+I296*50)</f>
        <v/>
      </c>
      <c r="K296" s="16"/>
      <c r="L296" s="16"/>
      <c r="M296" s="16"/>
      <c r="N296" s="17" t="str">
        <f aca="false">IF(COUNT(K296:M296)=0,"",MAX(K296:M296))</f>
        <v/>
      </c>
      <c r="O296" s="18" t="str">
        <f aca="false">IF(N296="","",IF(N296&gt;=7,"Sin pliometría ni velocidad. Solo isométricos, movilidad y tren superior. Valoración médica",IF(N296&gt;=4,"Sin pliometría el lunes. Sentadilla española 5x45 s","Sesión normal")))</f>
        <v/>
      </c>
      <c r="P296" s="16"/>
      <c r="Q296" s="16"/>
    </row>
    <row r="297" customFormat="false" ht="15" hidden="false" customHeight="false" outlineLevel="0" collapsed="false">
      <c r="A297" s="13" t="n">
        <v>21</v>
      </c>
      <c r="B297" s="14" t="n">
        <v>46412</v>
      </c>
      <c r="C297" s="13" t="s">
        <v>87</v>
      </c>
      <c r="D297" s="13" t="s">
        <v>89</v>
      </c>
      <c r="E297" s="13" t="n">
        <v>5</v>
      </c>
      <c r="F297" s="15" t="str">
        <f aca="false">Jugadores!$B$17</f>
        <v>Jugador 13</v>
      </c>
      <c r="G297" s="16"/>
      <c r="H297" s="16"/>
      <c r="I297" s="16"/>
      <c r="J297" s="17" t="str">
        <f aca="false">IF(COUNT(G297:I297)=0,"",G297*55+H297*50+I297*50)</f>
        <v/>
      </c>
      <c r="K297" s="16"/>
      <c r="L297" s="16"/>
      <c r="M297" s="16"/>
      <c r="N297" s="17" t="str">
        <f aca="false">IF(COUNT(K297:M297)=0,"",MAX(K297:M297))</f>
        <v/>
      </c>
      <c r="O297" s="18" t="str">
        <f aca="false">IF(N297="","",IF(N297&gt;=7,"Sin pliometría ni velocidad. Solo isométricos, movilidad y tren superior. Valoración médica",IF(N297&gt;=4,"Sin pliometría el lunes. Sentadilla española 5x45 s","Sesión normal")))</f>
        <v/>
      </c>
      <c r="P297" s="16"/>
      <c r="Q297" s="16"/>
    </row>
    <row r="298" customFormat="false" ht="15" hidden="false" customHeight="false" outlineLevel="0" collapsed="false">
      <c r="A298" s="13" t="n">
        <v>21</v>
      </c>
      <c r="B298" s="14" t="n">
        <v>46412</v>
      </c>
      <c r="C298" s="13" t="s">
        <v>87</v>
      </c>
      <c r="D298" s="13" t="s">
        <v>89</v>
      </c>
      <c r="E298" s="13" t="n">
        <v>5</v>
      </c>
      <c r="F298" s="15" t="str">
        <f aca="false">Jugadores!$B$18</f>
        <v>Jugador 14</v>
      </c>
      <c r="G298" s="16"/>
      <c r="H298" s="16"/>
      <c r="I298" s="16"/>
      <c r="J298" s="17" t="str">
        <f aca="false">IF(COUNT(G298:I298)=0,"",G298*55+H298*50+I298*50)</f>
        <v/>
      </c>
      <c r="K298" s="16"/>
      <c r="L298" s="16"/>
      <c r="M298" s="16"/>
      <c r="N298" s="17" t="str">
        <f aca="false">IF(COUNT(K298:M298)=0,"",MAX(K298:M298))</f>
        <v/>
      </c>
      <c r="O298" s="18" t="str">
        <f aca="false">IF(N298="","",IF(N298&gt;=7,"Sin pliometría ni velocidad. Solo isométricos, movilidad y tren superior. Valoración médica",IF(N298&gt;=4,"Sin pliometría el lunes. Sentadilla española 5x45 s","Sesión normal")))</f>
        <v/>
      </c>
      <c r="P298" s="16"/>
      <c r="Q298" s="16"/>
    </row>
    <row r="299" customFormat="false" ht="15" hidden="false" customHeight="false" outlineLevel="0" collapsed="false">
      <c r="A299" s="13" t="n">
        <v>22</v>
      </c>
      <c r="B299" s="14" t="n">
        <v>46419</v>
      </c>
      <c r="C299" s="13" t="s">
        <v>87</v>
      </c>
      <c r="D299" s="13" t="s">
        <v>90</v>
      </c>
      <c r="E299" s="13" t="n">
        <v>6</v>
      </c>
      <c r="F299" s="15" t="str">
        <f aca="false">Jugadores!$B$5</f>
        <v>Jugador 1</v>
      </c>
      <c r="G299" s="16"/>
      <c r="H299" s="16"/>
      <c r="I299" s="16"/>
      <c r="J299" s="17" t="str">
        <f aca="false">IF(COUNT(G299:I299)=0,"",G299*55+H299*50+I299*50)</f>
        <v/>
      </c>
      <c r="K299" s="16"/>
      <c r="L299" s="16"/>
      <c r="M299" s="16"/>
      <c r="N299" s="17" t="str">
        <f aca="false">IF(COUNT(K299:M299)=0,"",MAX(K299:M299))</f>
        <v/>
      </c>
      <c r="O299" s="18" t="str">
        <f aca="false">IF(N299="","",IF(N299&gt;=7,"Sin pliometría ni velocidad. Solo isométricos, movilidad y tren superior. Valoración médica",IF(N299&gt;=4,"Sin pliometría el lunes. Sentadilla española 5x45 s","Sesión normal")))</f>
        <v/>
      </c>
      <c r="P299" s="16"/>
      <c r="Q299" s="16"/>
    </row>
    <row r="300" customFormat="false" ht="15" hidden="false" customHeight="false" outlineLevel="0" collapsed="false">
      <c r="A300" s="13" t="n">
        <v>22</v>
      </c>
      <c r="B300" s="14" t="n">
        <v>46419</v>
      </c>
      <c r="C300" s="13" t="s">
        <v>87</v>
      </c>
      <c r="D300" s="13" t="s">
        <v>90</v>
      </c>
      <c r="E300" s="13" t="n">
        <v>6</v>
      </c>
      <c r="F300" s="15" t="str">
        <f aca="false">Jugadores!$B$6</f>
        <v>Jugador 2</v>
      </c>
      <c r="G300" s="16"/>
      <c r="H300" s="16"/>
      <c r="I300" s="16"/>
      <c r="J300" s="17" t="str">
        <f aca="false">IF(COUNT(G300:I300)=0,"",G300*55+H300*50+I300*50)</f>
        <v/>
      </c>
      <c r="K300" s="16"/>
      <c r="L300" s="16"/>
      <c r="M300" s="16"/>
      <c r="N300" s="17" t="str">
        <f aca="false">IF(COUNT(K300:M300)=0,"",MAX(K300:M300))</f>
        <v/>
      </c>
      <c r="O300" s="18" t="str">
        <f aca="false">IF(N300="","",IF(N300&gt;=7,"Sin pliometría ni velocidad. Solo isométricos, movilidad y tren superior. Valoración médica",IF(N300&gt;=4,"Sin pliometría el lunes. Sentadilla española 5x45 s","Sesión normal")))</f>
        <v/>
      </c>
      <c r="P300" s="16"/>
      <c r="Q300" s="16"/>
    </row>
    <row r="301" customFormat="false" ht="15" hidden="false" customHeight="false" outlineLevel="0" collapsed="false">
      <c r="A301" s="13" t="n">
        <v>22</v>
      </c>
      <c r="B301" s="14" t="n">
        <v>46419</v>
      </c>
      <c r="C301" s="13" t="s">
        <v>87</v>
      </c>
      <c r="D301" s="13" t="s">
        <v>90</v>
      </c>
      <c r="E301" s="13" t="n">
        <v>6</v>
      </c>
      <c r="F301" s="15" t="str">
        <f aca="false">Jugadores!$B$7</f>
        <v>Jugador 3</v>
      </c>
      <c r="G301" s="16"/>
      <c r="H301" s="16"/>
      <c r="I301" s="16"/>
      <c r="J301" s="17" t="str">
        <f aca="false">IF(COUNT(G301:I301)=0,"",G301*55+H301*50+I301*50)</f>
        <v/>
      </c>
      <c r="K301" s="16"/>
      <c r="L301" s="16"/>
      <c r="M301" s="16"/>
      <c r="N301" s="17" t="str">
        <f aca="false">IF(COUNT(K301:M301)=0,"",MAX(K301:M301))</f>
        <v/>
      </c>
      <c r="O301" s="18" t="str">
        <f aca="false">IF(N301="","",IF(N301&gt;=7,"Sin pliometría ni velocidad. Solo isométricos, movilidad y tren superior. Valoración médica",IF(N301&gt;=4,"Sin pliometría el lunes. Sentadilla española 5x45 s","Sesión normal")))</f>
        <v/>
      </c>
      <c r="P301" s="16"/>
      <c r="Q301" s="16"/>
    </row>
    <row r="302" customFormat="false" ht="15" hidden="false" customHeight="false" outlineLevel="0" collapsed="false">
      <c r="A302" s="13" t="n">
        <v>22</v>
      </c>
      <c r="B302" s="14" t="n">
        <v>46419</v>
      </c>
      <c r="C302" s="13" t="s">
        <v>87</v>
      </c>
      <c r="D302" s="13" t="s">
        <v>90</v>
      </c>
      <c r="E302" s="13" t="n">
        <v>6</v>
      </c>
      <c r="F302" s="15" t="str">
        <f aca="false">Jugadores!$B$8</f>
        <v>Jugador 4</v>
      </c>
      <c r="G302" s="16"/>
      <c r="H302" s="16"/>
      <c r="I302" s="16"/>
      <c r="J302" s="17" t="str">
        <f aca="false">IF(COUNT(G302:I302)=0,"",G302*55+H302*50+I302*50)</f>
        <v/>
      </c>
      <c r="K302" s="16"/>
      <c r="L302" s="16"/>
      <c r="M302" s="16"/>
      <c r="N302" s="17" t="str">
        <f aca="false">IF(COUNT(K302:M302)=0,"",MAX(K302:M302))</f>
        <v/>
      </c>
      <c r="O302" s="18" t="str">
        <f aca="false">IF(N302="","",IF(N302&gt;=7,"Sin pliometría ni velocidad. Solo isométricos, movilidad y tren superior. Valoración médica",IF(N302&gt;=4,"Sin pliometría el lunes. Sentadilla española 5x45 s","Sesión normal")))</f>
        <v/>
      </c>
      <c r="P302" s="16"/>
      <c r="Q302" s="16"/>
    </row>
    <row r="303" customFormat="false" ht="15" hidden="false" customHeight="false" outlineLevel="0" collapsed="false">
      <c r="A303" s="13" t="n">
        <v>22</v>
      </c>
      <c r="B303" s="14" t="n">
        <v>46419</v>
      </c>
      <c r="C303" s="13" t="s">
        <v>87</v>
      </c>
      <c r="D303" s="13" t="s">
        <v>90</v>
      </c>
      <c r="E303" s="13" t="n">
        <v>6</v>
      </c>
      <c r="F303" s="15" t="str">
        <f aca="false">Jugadores!$B$9</f>
        <v>Jugador 5</v>
      </c>
      <c r="G303" s="16"/>
      <c r="H303" s="16"/>
      <c r="I303" s="16"/>
      <c r="J303" s="17" t="str">
        <f aca="false">IF(COUNT(G303:I303)=0,"",G303*55+H303*50+I303*50)</f>
        <v/>
      </c>
      <c r="K303" s="16"/>
      <c r="L303" s="16"/>
      <c r="M303" s="16"/>
      <c r="N303" s="17" t="str">
        <f aca="false">IF(COUNT(K303:M303)=0,"",MAX(K303:M303))</f>
        <v/>
      </c>
      <c r="O303" s="18" t="str">
        <f aca="false">IF(N303="","",IF(N303&gt;=7,"Sin pliometría ni velocidad. Solo isométricos, movilidad y tren superior. Valoración médica",IF(N303&gt;=4,"Sin pliometría el lunes. Sentadilla española 5x45 s","Sesión normal")))</f>
        <v/>
      </c>
      <c r="P303" s="16"/>
      <c r="Q303" s="16"/>
    </row>
    <row r="304" customFormat="false" ht="15" hidden="false" customHeight="false" outlineLevel="0" collapsed="false">
      <c r="A304" s="13" t="n">
        <v>22</v>
      </c>
      <c r="B304" s="14" t="n">
        <v>46419</v>
      </c>
      <c r="C304" s="13" t="s">
        <v>87</v>
      </c>
      <c r="D304" s="13" t="s">
        <v>90</v>
      </c>
      <c r="E304" s="13" t="n">
        <v>6</v>
      </c>
      <c r="F304" s="15" t="str">
        <f aca="false">Jugadores!$B$10</f>
        <v>Jugador 6</v>
      </c>
      <c r="G304" s="16"/>
      <c r="H304" s="16"/>
      <c r="I304" s="16"/>
      <c r="J304" s="17" t="str">
        <f aca="false">IF(COUNT(G304:I304)=0,"",G304*55+H304*50+I304*50)</f>
        <v/>
      </c>
      <c r="K304" s="16"/>
      <c r="L304" s="16"/>
      <c r="M304" s="16"/>
      <c r="N304" s="17" t="str">
        <f aca="false">IF(COUNT(K304:M304)=0,"",MAX(K304:M304))</f>
        <v/>
      </c>
      <c r="O304" s="18" t="str">
        <f aca="false">IF(N304="","",IF(N304&gt;=7,"Sin pliometría ni velocidad. Solo isométricos, movilidad y tren superior. Valoración médica",IF(N304&gt;=4,"Sin pliometría el lunes. Sentadilla española 5x45 s","Sesión normal")))</f>
        <v/>
      </c>
      <c r="P304" s="16"/>
      <c r="Q304" s="16"/>
    </row>
    <row r="305" customFormat="false" ht="15" hidden="false" customHeight="false" outlineLevel="0" collapsed="false">
      <c r="A305" s="13" t="n">
        <v>22</v>
      </c>
      <c r="B305" s="14" t="n">
        <v>46419</v>
      </c>
      <c r="C305" s="13" t="s">
        <v>87</v>
      </c>
      <c r="D305" s="13" t="s">
        <v>90</v>
      </c>
      <c r="E305" s="13" t="n">
        <v>6</v>
      </c>
      <c r="F305" s="15" t="str">
        <f aca="false">Jugadores!$B$11</f>
        <v>Jugador 7</v>
      </c>
      <c r="G305" s="16"/>
      <c r="H305" s="16"/>
      <c r="I305" s="16"/>
      <c r="J305" s="17" t="str">
        <f aca="false">IF(COUNT(G305:I305)=0,"",G305*55+H305*50+I305*50)</f>
        <v/>
      </c>
      <c r="K305" s="16"/>
      <c r="L305" s="16"/>
      <c r="M305" s="16"/>
      <c r="N305" s="17" t="str">
        <f aca="false">IF(COUNT(K305:M305)=0,"",MAX(K305:M305))</f>
        <v/>
      </c>
      <c r="O305" s="18" t="str">
        <f aca="false">IF(N305="","",IF(N305&gt;=7,"Sin pliometría ni velocidad. Solo isométricos, movilidad y tren superior. Valoración médica",IF(N305&gt;=4,"Sin pliometría el lunes. Sentadilla española 5x45 s","Sesión normal")))</f>
        <v/>
      </c>
      <c r="P305" s="16"/>
      <c r="Q305" s="16"/>
    </row>
    <row r="306" customFormat="false" ht="15" hidden="false" customHeight="false" outlineLevel="0" collapsed="false">
      <c r="A306" s="13" t="n">
        <v>22</v>
      </c>
      <c r="B306" s="14" t="n">
        <v>46419</v>
      </c>
      <c r="C306" s="13" t="s">
        <v>87</v>
      </c>
      <c r="D306" s="13" t="s">
        <v>90</v>
      </c>
      <c r="E306" s="13" t="n">
        <v>6</v>
      </c>
      <c r="F306" s="15" t="str">
        <f aca="false">Jugadores!$B$12</f>
        <v>Jugador 8</v>
      </c>
      <c r="G306" s="16"/>
      <c r="H306" s="16"/>
      <c r="I306" s="16"/>
      <c r="J306" s="17" t="str">
        <f aca="false">IF(COUNT(G306:I306)=0,"",G306*55+H306*50+I306*50)</f>
        <v/>
      </c>
      <c r="K306" s="16"/>
      <c r="L306" s="16"/>
      <c r="M306" s="16"/>
      <c r="N306" s="17" t="str">
        <f aca="false">IF(COUNT(K306:M306)=0,"",MAX(K306:M306))</f>
        <v/>
      </c>
      <c r="O306" s="18" t="str">
        <f aca="false">IF(N306="","",IF(N306&gt;=7,"Sin pliometría ni velocidad. Solo isométricos, movilidad y tren superior. Valoración médica",IF(N306&gt;=4,"Sin pliometría el lunes. Sentadilla española 5x45 s","Sesión normal")))</f>
        <v/>
      </c>
      <c r="P306" s="16"/>
      <c r="Q306" s="16"/>
    </row>
    <row r="307" customFormat="false" ht="15" hidden="false" customHeight="false" outlineLevel="0" collapsed="false">
      <c r="A307" s="13" t="n">
        <v>22</v>
      </c>
      <c r="B307" s="14" t="n">
        <v>46419</v>
      </c>
      <c r="C307" s="13" t="s">
        <v>87</v>
      </c>
      <c r="D307" s="13" t="s">
        <v>90</v>
      </c>
      <c r="E307" s="13" t="n">
        <v>6</v>
      </c>
      <c r="F307" s="15" t="str">
        <f aca="false">Jugadores!$B$13</f>
        <v>Jugador 9</v>
      </c>
      <c r="G307" s="16"/>
      <c r="H307" s="16"/>
      <c r="I307" s="16"/>
      <c r="J307" s="17" t="str">
        <f aca="false">IF(COUNT(G307:I307)=0,"",G307*55+H307*50+I307*50)</f>
        <v/>
      </c>
      <c r="K307" s="16"/>
      <c r="L307" s="16"/>
      <c r="M307" s="16"/>
      <c r="N307" s="17" t="str">
        <f aca="false">IF(COUNT(K307:M307)=0,"",MAX(K307:M307))</f>
        <v/>
      </c>
      <c r="O307" s="18" t="str">
        <f aca="false">IF(N307="","",IF(N307&gt;=7,"Sin pliometría ni velocidad. Solo isométricos, movilidad y tren superior. Valoración médica",IF(N307&gt;=4,"Sin pliometría el lunes. Sentadilla española 5x45 s","Sesión normal")))</f>
        <v/>
      </c>
      <c r="P307" s="16"/>
      <c r="Q307" s="16"/>
    </row>
    <row r="308" customFormat="false" ht="15" hidden="false" customHeight="false" outlineLevel="0" collapsed="false">
      <c r="A308" s="13" t="n">
        <v>22</v>
      </c>
      <c r="B308" s="14" t="n">
        <v>46419</v>
      </c>
      <c r="C308" s="13" t="s">
        <v>87</v>
      </c>
      <c r="D308" s="13" t="s">
        <v>90</v>
      </c>
      <c r="E308" s="13" t="n">
        <v>6</v>
      </c>
      <c r="F308" s="15" t="str">
        <f aca="false">Jugadores!$B$14</f>
        <v>Jugador 10</v>
      </c>
      <c r="G308" s="16"/>
      <c r="H308" s="16"/>
      <c r="I308" s="16"/>
      <c r="J308" s="17" t="str">
        <f aca="false">IF(COUNT(G308:I308)=0,"",G308*55+H308*50+I308*50)</f>
        <v/>
      </c>
      <c r="K308" s="16"/>
      <c r="L308" s="16"/>
      <c r="M308" s="16"/>
      <c r="N308" s="17" t="str">
        <f aca="false">IF(COUNT(K308:M308)=0,"",MAX(K308:M308))</f>
        <v/>
      </c>
      <c r="O308" s="18" t="str">
        <f aca="false">IF(N308="","",IF(N308&gt;=7,"Sin pliometría ni velocidad. Solo isométricos, movilidad y tren superior. Valoración médica",IF(N308&gt;=4,"Sin pliometría el lunes. Sentadilla española 5x45 s","Sesión normal")))</f>
        <v/>
      </c>
      <c r="P308" s="16"/>
      <c r="Q308" s="16"/>
    </row>
    <row r="309" customFormat="false" ht="15" hidden="false" customHeight="false" outlineLevel="0" collapsed="false">
      <c r="A309" s="13" t="n">
        <v>22</v>
      </c>
      <c r="B309" s="14" t="n">
        <v>46419</v>
      </c>
      <c r="C309" s="13" t="s">
        <v>87</v>
      </c>
      <c r="D309" s="13" t="s">
        <v>90</v>
      </c>
      <c r="E309" s="13" t="n">
        <v>6</v>
      </c>
      <c r="F309" s="15" t="str">
        <f aca="false">Jugadores!$B$15</f>
        <v>Jugador 11</v>
      </c>
      <c r="G309" s="16"/>
      <c r="H309" s="16"/>
      <c r="I309" s="16"/>
      <c r="J309" s="17" t="str">
        <f aca="false">IF(COUNT(G309:I309)=0,"",G309*55+H309*50+I309*50)</f>
        <v/>
      </c>
      <c r="K309" s="16"/>
      <c r="L309" s="16"/>
      <c r="M309" s="16"/>
      <c r="N309" s="17" t="str">
        <f aca="false">IF(COUNT(K309:M309)=0,"",MAX(K309:M309))</f>
        <v/>
      </c>
      <c r="O309" s="18" t="str">
        <f aca="false">IF(N309="","",IF(N309&gt;=7,"Sin pliometría ni velocidad. Solo isométricos, movilidad y tren superior. Valoración médica",IF(N309&gt;=4,"Sin pliometría el lunes. Sentadilla española 5x45 s","Sesión normal")))</f>
        <v/>
      </c>
      <c r="P309" s="16"/>
      <c r="Q309" s="16"/>
    </row>
    <row r="310" customFormat="false" ht="15" hidden="false" customHeight="false" outlineLevel="0" collapsed="false">
      <c r="A310" s="13" t="n">
        <v>22</v>
      </c>
      <c r="B310" s="14" t="n">
        <v>46419</v>
      </c>
      <c r="C310" s="13" t="s">
        <v>87</v>
      </c>
      <c r="D310" s="13" t="s">
        <v>90</v>
      </c>
      <c r="E310" s="13" t="n">
        <v>6</v>
      </c>
      <c r="F310" s="15" t="str">
        <f aca="false">Jugadores!$B$16</f>
        <v>Jugador 12</v>
      </c>
      <c r="G310" s="16"/>
      <c r="H310" s="16"/>
      <c r="I310" s="16"/>
      <c r="J310" s="17" t="str">
        <f aca="false">IF(COUNT(G310:I310)=0,"",G310*55+H310*50+I310*50)</f>
        <v/>
      </c>
      <c r="K310" s="16"/>
      <c r="L310" s="16"/>
      <c r="M310" s="16"/>
      <c r="N310" s="17" t="str">
        <f aca="false">IF(COUNT(K310:M310)=0,"",MAX(K310:M310))</f>
        <v/>
      </c>
      <c r="O310" s="18" t="str">
        <f aca="false">IF(N310="","",IF(N310&gt;=7,"Sin pliometría ni velocidad. Solo isométricos, movilidad y tren superior. Valoración médica",IF(N310&gt;=4,"Sin pliometría el lunes. Sentadilla española 5x45 s","Sesión normal")))</f>
        <v/>
      </c>
      <c r="P310" s="16"/>
      <c r="Q310" s="16"/>
    </row>
    <row r="311" customFormat="false" ht="15" hidden="false" customHeight="false" outlineLevel="0" collapsed="false">
      <c r="A311" s="13" t="n">
        <v>22</v>
      </c>
      <c r="B311" s="14" t="n">
        <v>46419</v>
      </c>
      <c r="C311" s="13" t="s">
        <v>87</v>
      </c>
      <c r="D311" s="13" t="s">
        <v>90</v>
      </c>
      <c r="E311" s="13" t="n">
        <v>6</v>
      </c>
      <c r="F311" s="15" t="str">
        <f aca="false">Jugadores!$B$17</f>
        <v>Jugador 13</v>
      </c>
      <c r="G311" s="16"/>
      <c r="H311" s="16"/>
      <c r="I311" s="16"/>
      <c r="J311" s="17" t="str">
        <f aca="false">IF(COUNT(G311:I311)=0,"",G311*55+H311*50+I311*50)</f>
        <v/>
      </c>
      <c r="K311" s="16"/>
      <c r="L311" s="16"/>
      <c r="M311" s="16"/>
      <c r="N311" s="17" t="str">
        <f aca="false">IF(COUNT(K311:M311)=0,"",MAX(K311:M311))</f>
        <v/>
      </c>
      <c r="O311" s="18" t="str">
        <f aca="false">IF(N311="","",IF(N311&gt;=7,"Sin pliometría ni velocidad. Solo isométricos, movilidad y tren superior. Valoración médica",IF(N311&gt;=4,"Sin pliometría el lunes. Sentadilla española 5x45 s","Sesión normal")))</f>
        <v/>
      </c>
      <c r="P311" s="16"/>
      <c r="Q311" s="16"/>
    </row>
    <row r="312" customFormat="false" ht="15" hidden="false" customHeight="false" outlineLevel="0" collapsed="false">
      <c r="A312" s="13" t="n">
        <v>22</v>
      </c>
      <c r="B312" s="14" t="n">
        <v>46419</v>
      </c>
      <c r="C312" s="13" t="s">
        <v>87</v>
      </c>
      <c r="D312" s="13" t="s">
        <v>90</v>
      </c>
      <c r="E312" s="13" t="n">
        <v>6</v>
      </c>
      <c r="F312" s="15" t="str">
        <f aca="false">Jugadores!$B$18</f>
        <v>Jugador 14</v>
      </c>
      <c r="G312" s="16"/>
      <c r="H312" s="16"/>
      <c r="I312" s="16"/>
      <c r="J312" s="17" t="str">
        <f aca="false">IF(COUNT(G312:I312)=0,"",G312*55+H312*50+I312*50)</f>
        <v/>
      </c>
      <c r="K312" s="16"/>
      <c r="L312" s="16"/>
      <c r="M312" s="16"/>
      <c r="N312" s="17" t="str">
        <f aca="false">IF(COUNT(K312:M312)=0,"",MAX(K312:M312))</f>
        <v/>
      </c>
      <c r="O312" s="18" t="str">
        <f aca="false">IF(N312="","",IF(N312&gt;=7,"Sin pliometría ni velocidad. Solo isométricos, movilidad y tren superior. Valoración médica",IF(N312&gt;=4,"Sin pliometría el lunes. Sentadilla española 5x45 s","Sesión normal")))</f>
        <v/>
      </c>
      <c r="P312" s="16"/>
      <c r="Q312" s="16"/>
    </row>
    <row r="313" customFormat="false" ht="15" hidden="false" customHeight="false" outlineLevel="0" collapsed="false">
      <c r="A313" s="13" t="n">
        <v>23</v>
      </c>
      <c r="B313" s="14" t="n">
        <v>46426</v>
      </c>
      <c r="C313" s="13" t="s">
        <v>87</v>
      </c>
      <c r="D313" s="13" t="s">
        <v>91</v>
      </c>
      <c r="E313" s="13" t="n">
        <v>4</v>
      </c>
      <c r="F313" s="15" t="str">
        <f aca="false">Jugadores!$B$5</f>
        <v>Jugador 1</v>
      </c>
      <c r="G313" s="16"/>
      <c r="H313" s="16"/>
      <c r="I313" s="16"/>
      <c r="J313" s="17" t="str">
        <f aca="false">IF(COUNT(G313:I313)=0,"",G313*55+H313*50+I313*50)</f>
        <v/>
      </c>
      <c r="K313" s="16"/>
      <c r="L313" s="16"/>
      <c r="M313" s="16"/>
      <c r="N313" s="17" t="str">
        <f aca="false">IF(COUNT(K313:M313)=0,"",MAX(K313:M313))</f>
        <v/>
      </c>
      <c r="O313" s="18" t="str">
        <f aca="false">IF(N313="","",IF(N313&gt;=7,"Sin pliometría ni velocidad. Solo isométricos, movilidad y tren superior. Valoración médica",IF(N313&gt;=4,"Sin pliometría el lunes. Sentadilla española 5x45 s","Sesión normal")))</f>
        <v/>
      </c>
      <c r="P313" s="16"/>
      <c r="Q313" s="16"/>
    </row>
    <row r="314" customFormat="false" ht="15" hidden="false" customHeight="false" outlineLevel="0" collapsed="false">
      <c r="A314" s="13" t="n">
        <v>23</v>
      </c>
      <c r="B314" s="14" t="n">
        <v>46426</v>
      </c>
      <c r="C314" s="13" t="s">
        <v>87</v>
      </c>
      <c r="D314" s="13" t="s">
        <v>91</v>
      </c>
      <c r="E314" s="13" t="n">
        <v>4</v>
      </c>
      <c r="F314" s="15" t="str">
        <f aca="false">Jugadores!$B$6</f>
        <v>Jugador 2</v>
      </c>
      <c r="G314" s="16"/>
      <c r="H314" s="16"/>
      <c r="I314" s="16"/>
      <c r="J314" s="17" t="str">
        <f aca="false">IF(COUNT(G314:I314)=0,"",G314*55+H314*50+I314*50)</f>
        <v/>
      </c>
      <c r="K314" s="16"/>
      <c r="L314" s="16"/>
      <c r="M314" s="16"/>
      <c r="N314" s="17" t="str">
        <f aca="false">IF(COUNT(K314:M314)=0,"",MAX(K314:M314))</f>
        <v/>
      </c>
      <c r="O314" s="18" t="str">
        <f aca="false">IF(N314="","",IF(N314&gt;=7,"Sin pliometría ni velocidad. Solo isométricos, movilidad y tren superior. Valoración médica",IF(N314&gt;=4,"Sin pliometría el lunes. Sentadilla española 5x45 s","Sesión normal")))</f>
        <v/>
      </c>
      <c r="P314" s="16"/>
      <c r="Q314" s="16"/>
    </row>
    <row r="315" customFormat="false" ht="15" hidden="false" customHeight="false" outlineLevel="0" collapsed="false">
      <c r="A315" s="13" t="n">
        <v>23</v>
      </c>
      <c r="B315" s="14" t="n">
        <v>46426</v>
      </c>
      <c r="C315" s="13" t="s">
        <v>87</v>
      </c>
      <c r="D315" s="13" t="s">
        <v>91</v>
      </c>
      <c r="E315" s="13" t="n">
        <v>4</v>
      </c>
      <c r="F315" s="15" t="str">
        <f aca="false">Jugadores!$B$7</f>
        <v>Jugador 3</v>
      </c>
      <c r="G315" s="16"/>
      <c r="H315" s="16"/>
      <c r="I315" s="16"/>
      <c r="J315" s="17" t="str">
        <f aca="false">IF(COUNT(G315:I315)=0,"",G315*55+H315*50+I315*50)</f>
        <v/>
      </c>
      <c r="K315" s="16"/>
      <c r="L315" s="16"/>
      <c r="M315" s="16"/>
      <c r="N315" s="17" t="str">
        <f aca="false">IF(COUNT(K315:M315)=0,"",MAX(K315:M315))</f>
        <v/>
      </c>
      <c r="O315" s="18" t="str">
        <f aca="false">IF(N315="","",IF(N315&gt;=7,"Sin pliometría ni velocidad. Solo isométricos, movilidad y tren superior. Valoración médica",IF(N315&gt;=4,"Sin pliometría el lunes. Sentadilla española 5x45 s","Sesión normal")))</f>
        <v/>
      </c>
      <c r="P315" s="16"/>
      <c r="Q315" s="16"/>
    </row>
    <row r="316" customFormat="false" ht="15" hidden="false" customHeight="false" outlineLevel="0" collapsed="false">
      <c r="A316" s="13" t="n">
        <v>23</v>
      </c>
      <c r="B316" s="14" t="n">
        <v>46426</v>
      </c>
      <c r="C316" s="13" t="s">
        <v>87</v>
      </c>
      <c r="D316" s="13" t="s">
        <v>91</v>
      </c>
      <c r="E316" s="13" t="n">
        <v>4</v>
      </c>
      <c r="F316" s="15" t="str">
        <f aca="false">Jugadores!$B$8</f>
        <v>Jugador 4</v>
      </c>
      <c r="G316" s="16"/>
      <c r="H316" s="16"/>
      <c r="I316" s="16"/>
      <c r="J316" s="17" t="str">
        <f aca="false">IF(COUNT(G316:I316)=0,"",G316*55+H316*50+I316*50)</f>
        <v/>
      </c>
      <c r="K316" s="16"/>
      <c r="L316" s="16"/>
      <c r="M316" s="16"/>
      <c r="N316" s="17" t="str">
        <f aca="false">IF(COUNT(K316:M316)=0,"",MAX(K316:M316))</f>
        <v/>
      </c>
      <c r="O316" s="18" t="str">
        <f aca="false">IF(N316="","",IF(N316&gt;=7,"Sin pliometría ni velocidad. Solo isométricos, movilidad y tren superior. Valoración médica",IF(N316&gt;=4,"Sin pliometría el lunes. Sentadilla española 5x45 s","Sesión normal")))</f>
        <v/>
      </c>
      <c r="P316" s="16"/>
      <c r="Q316" s="16"/>
    </row>
    <row r="317" customFormat="false" ht="15" hidden="false" customHeight="false" outlineLevel="0" collapsed="false">
      <c r="A317" s="13" t="n">
        <v>23</v>
      </c>
      <c r="B317" s="14" t="n">
        <v>46426</v>
      </c>
      <c r="C317" s="13" t="s">
        <v>87</v>
      </c>
      <c r="D317" s="13" t="s">
        <v>91</v>
      </c>
      <c r="E317" s="13" t="n">
        <v>4</v>
      </c>
      <c r="F317" s="15" t="str">
        <f aca="false">Jugadores!$B$9</f>
        <v>Jugador 5</v>
      </c>
      <c r="G317" s="16"/>
      <c r="H317" s="16"/>
      <c r="I317" s="16"/>
      <c r="J317" s="17" t="str">
        <f aca="false">IF(COUNT(G317:I317)=0,"",G317*55+H317*50+I317*50)</f>
        <v/>
      </c>
      <c r="K317" s="16"/>
      <c r="L317" s="16"/>
      <c r="M317" s="16"/>
      <c r="N317" s="17" t="str">
        <f aca="false">IF(COUNT(K317:M317)=0,"",MAX(K317:M317))</f>
        <v/>
      </c>
      <c r="O317" s="18" t="str">
        <f aca="false">IF(N317="","",IF(N317&gt;=7,"Sin pliometría ni velocidad. Solo isométricos, movilidad y tren superior. Valoración médica",IF(N317&gt;=4,"Sin pliometría el lunes. Sentadilla española 5x45 s","Sesión normal")))</f>
        <v/>
      </c>
      <c r="P317" s="16"/>
      <c r="Q317" s="16"/>
    </row>
    <row r="318" customFormat="false" ht="15" hidden="false" customHeight="false" outlineLevel="0" collapsed="false">
      <c r="A318" s="13" t="n">
        <v>23</v>
      </c>
      <c r="B318" s="14" t="n">
        <v>46426</v>
      </c>
      <c r="C318" s="13" t="s">
        <v>87</v>
      </c>
      <c r="D318" s="13" t="s">
        <v>91</v>
      </c>
      <c r="E318" s="13" t="n">
        <v>4</v>
      </c>
      <c r="F318" s="15" t="str">
        <f aca="false">Jugadores!$B$10</f>
        <v>Jugador 6</v>
      </c>
      <c r="G318" s="16"/>
      <c r="H318" s="16"/>
      <c r="I318" s="16"/>
      <c r="J318" s="17" t="str">
        <f aca="false">IF(COUNT(G318:I318)=0,"",G318*55+H318*50+I318*50)</f>
        <v/>
      </c>
      <c r="K318" s="16"/>
      <c r="L318" s="16"/>
      <c r="M318" s="16"/>
      <c r="N318" s="17" t="str">
        <f aca="false">IF(COUNT(K318:M318)=0,"",MAX(K318:M318))</f>
        <v/>
      </c>
      <c r="O318" s="18" t="str">
        <f aca="false">IF(N318="","",IF(N318&gt;=7,"Sin pliometría ni velocidad. Solo isométricos, movilidad y tren superior. Valoración médica",IF(N318&gt;=4,"Sin pliometría el lunes. Sentadilla española 5x45 s","Sesión normal")))</f>
        <v/>
      </c>
      <c r="P318" s="16"/>
      <c r="Q318" s="16"/>
    </row>
    <row r="319" customFormat="false" ht="15" hidden="false" customHeight="false" outlineLevel="0" collapsed="false">
      <c r="A319" s="13" t="n">
        <v>23</v>
      </c>
      <c r="B319" s="14" t="n">
        <v>46426</v>
      </c>
      <c r="C319" s="13" t="s">
        <v>87</v>
      </c>
      <c r="D319" s="13" t="s">
        <v>91</v>
      </c>
      <c r="E319" s="13" t="n">
        <v>4</v>
      </c>
      <c r="F319" s="15" t="str">
        <f aca="false">Jugadores!$B$11</f>
        <v>Jugador 7</v>
      </c>
      <c r="G319" s="16"/>
      <c r="H319" s="16"/>
      <c r="I319" s="16"/>
      <c r="J319" s="17" t="str">
        <f aca="false">IF(COUNT(G319:I319)=0,"",G319*55+H319*50+I319*50)</f>
        <v/>
      </c>
      <c r="K319" s="16"/>
      <c r="L319" s="16"/>
      <c r="M319" s="16"/>
      <c r="N319" s="17" t="str">
        <f aca="false">IF(COUNT(K319:M319)=0,"",MAX(K319:M319))</f>
        <v/>
      </c>
      <c r="O319" s="18" t="str">
        <f aca="false">IF(N319="","",IF(N319&gt;=7,"Sin pliometría ni velocidad. Solo isométricos, movilidad y tren superior. Valoración médica",IF(N319&gt;=4,"Sin pliometría el lunes. Sentadilla española 5x45 s","Sesión normal")))</f>
        <v/>
      </c>
      <c r="P319" s="16"/>
      <c r="Q319" s="16"/>
    </row>
    <row r="320" customFormat="false" ht="15" hidden="false" customHeight="false" outlineLevel="0" collapsed="false">
      <c r="A320" s="13" t="n">
        <v>23</v>
      </c>
      <c r="B320" s="14" t="n">
        <v>46426</v>
      </c>
      <c r="C320" s="13" t="s">
        <v>87</v>
      </c>
      <c r="D320" s="13" t="s">
        <v>91</v>
      </c>
      <c r="E320" s="13" t="n">
        <v>4</v>
      </c>
      <c r="F320" s="15" t="str">
        <f aca="false">Jugadores!$B$12</f>
        <v>Jugador 8</v>
      </c>
      <c r="G320" s="16"/>
      <c r="H320" s="16"/>
      <c r="I320" s="16"/>
      <c r="J320" s="17" t="str">
        <f aca="false">IF(COUNT(G320:I320)=0,"",G320*55+H320*50+I320*50)</f>
        <v/>
      </c>
      <c r="K320" s="16"/>
      <c r="L320" s="16"/>
      <c r="M320" s="16"/>
      <c r="N320" s="17" t="str">
        <f aca="false">IF(COUNT(K320:M320)=0,"",MAX(K320:M320))</f>
        <v/>
      </c>
      <c r="O320" s="18" t="str">
        <f aca="false">IF(N320="","",IF(N320&gt;=7,"Sin pliometría ni velocidad. Solo isométricos, movilidad y tren superior. Valoración médica",IF(N320&gt;=4,"Sin pliometría el lunes. Sentadilla española 5x45 s","Sesión normal")))</f>
        <v/>
      </c>
      <c r="P320" s="16"/>
      <c r="Q320" s="16"/>
    </row>
    <row r="321" customFormat="false" ht="15" hidden="false" customHeight="false" outlineLevel="0" collapsed="false">
      <c r="A321" s="13" t="n">
        <v>23</v>
      </c>
      <c r="B321" s="14" t="n">
        <v>46426</v>
      </c>
      <c r="C321" s="13" t="s">
        <v>87</v>
      </c>
      <c r="D321" s="13" t="s">
        <v>91</v>
      </c>
      <c r="E321" s="13" t="n">
        <v>4</v>
      </c>
      <c r="F321" s="15" t="str">
        <f aca="false">Jugadores!$B$13</f>
        <v>Jugador 9</v>
      </c>
      <c r="G321" s="16"/>
      <c r="H321" s="16"/>
      <c r="I321" s="16"/>
      <c r="J321" s="17" t="str">
        <f aca="false">IF(COUNT(G321:I321)=0,"",G321*55+H321*50+I321*50)</f>
        <v/>
      </c>
      <c r="K321" s="16"/>
      <c r="L321" s="16"/>
      <c r="M321" s="16"/>
      <c r="N321" s="17" t="str">
        <f aca="false">IF(COUNT(K321:M321)=0,"",MAX(K321:M321))</f>
        <v/>
      </c>
      <c r="O321" s="18" t="str">
        <f aca="false">IF(N321="","",IF(N321&gt;=7,"Sin pliometría ni velocidad. Solo isométricos, movilidad y tren superior. Valoración médica",IF(N321&gt;=4,"Sin pliometría el lunes. Sentadilla española 5x45 s","Sesión normal")))</f>
        <v/>
      </c>
      <c r="P321" s="16"/>
      <c r="Q321" s="16"/>
    </row>
    <row r="322" customFormat="false" ht="15" hidden="false" customHeight="false" outlineLevel="0" collapsed="false">
      <c r="A322" s="13" t="n">
        <v>23</v>
      </c>
      <c r="B322" s="14" t="n">
        <v>46426</v>
      </c>
      <c r="C322" s="13" t="s">
        <v>87</v>
      </c>
      <c r="D322" s="13" t="s">
        <v>91</v>
      </c>
      <c r="E322" s="13" t="n">
        <v>4</v>
      </c>
      <c r="F322" s="15" t="str">
        <f aca="false">Jugadores!$B$14</f>
        <v>Jugador 10</v>
      </c>
      <c r="G322" s="16"/>
      <c r="H322" s="16"/>
      <c r="I322" s="16"/>
      <c r="J322" s="17" t="str">
        <f aca="false">IF(COUNT(G322:I322)=0,"",G322*55+H322*50+I322*50)</f>
        <v/>
      </c>
      <c r="K322" s="16"/>
      <c r="L322" s="16"/>
      <c r="M322" s="16"/>
      <c r="N322" s="17" t="str">
        <f aca="false">IF(COUNT(K322:M322)=0,"",MAX(K322:M322))</f>
        <v/>
      </c>
      <c r="O322" s="18" t="str">
        <f aca="false">IF(N322="","",IF(N322&gt;=7,"Sin pliometría ni velocidad. Solo isométricos, movilidad y tren superior. Valoración médica",IF(N322&gt;=4,"Sin pliometría el lunes. Sentadilla española 5x45 s","Sesión normal")))</f>
        <v/>
      </c>
      <c r="P322" s="16"/>
      <c r="Q322" s="16"/>
    </row>
    <row r="323" customFormat="false" ht="15" hidden="false" customHeight="false" outlineLevel="0" collapsed="false">
      <c r="A323" s="13" t="n">
        <v>23</v>
      </c>
      <c r="B323" s="14" t="n">
        <v>46426</v>
      </c>
      <c r="C323" s="13" t="s">
        <v>87</v>
      </c>
      <c r="D323" s="13" t="s">
        <v>91</v>
      </c>
      <c r="E323" s="13" t="n">
        <v>4</v>
      </c>
      <c r="F323" s="15" t="str">
        <f aca="false">Jugadores!$B$15</f>
        <v>Jugador 11</v>
      </c>
      <c r="G323" s="16"/>
      <c r="H323" s="16"/>
      <c r="I323" s="16"/>
      <c r="J323" s="17" t="str">
        <f aca="false">IF(COUNT(G323:I323)=0,"",G323*55+H323*50+I323*50)</f>
        <v/>
      </c>
      <c r="K323" s="16"/>
      <c r="L323" s="16"/>
      <c r="M323" s="16"/>
      <c r="N323" s="17" t="str">
        <f aca="false">IF(COUNT(K323:M323)=0,"",MAX(K323:M323))</f>
        <v/>
      </c>
      <c r="O323" s="18" t="str">
        <f aca="false">IF(N323="","",IF(N323&gt;=7,"Sin pliometría ni velocidad. Solo isométricos, movilidad y tren superior. Valoración médica",IF(N323&gt;=4,"Sin pliometría el lunes. Sentadilla española 5x45 s","Sesión normal")))</f>
        <v/>
      </c>
      <c r="P323" s="16"/>
      <c r="Q323" s="16"/>
    </row>
    <row r="324" customFormat="false" ht="15" hidden="false" customHeight="false" outlineLevel="0" collapsed="false">
      <c r="A324" s="13" t="n">
        <v>23</v>
      </c>
      <c r="B324" s="14" t="n">
        <v>46426</v>
      </c>
      <c r="C324" s="13" t="s">
        <v>87</v>
      </c>
      <c r="D324" s="13" t="s">
        <v>91</v>
      </c>
      <c r="E324" s="13" t="n">
        <v>4</v>
      </c>
      <c r="F324" s="15" t="str">
        <f aca="false">Jugadores!$B$16</f>
        <v>Jugador 12</v>
      </c>
      <c r="G324" s="16"/>
      <c r="H324" s="16"/>
      <c r="I324" s="16"/>
      <c r="J324" s="17" t="str">
        <f aca="false">IF(COUNT(G324:I324)=0,"",G324*55+H324*50+I324*50)</f>
        <v/>
      </c>
      <c r="K324" s="16"/>
      <c r="L324" s="16"/>
      <c r="M324" s="16"/>
      <c r="N324" s="17" t="str">
        <f aca="false">IF(COUNT(K324:M324)=0,"",MAX(K324:M324))</f>
        <v/>
      </c>
      <c r="O324" s="18" t="str">
        <f aca="false">IF(N324="","",IF(N324&gt;=7,"Sin pliometría ni velocidad. Solo isométricos, movilidad y tren superior. Valoración médica",IF(N324&gt;=4,"Sin pliometría el lunes. Sentadilla española 5x45 s","Sesión normal")))</f>
        <v/>
      </c>
      <c r="P324" s="16"/>
      <c r="Q324" s="16"/>
    </row>
    <row r="325" customFormat="false" ht="15" hidden="false" customHeight="false" outlineLevel="0" collapsed="false">
      <c r="A325" s="13" t="n">
        <v>23</v>
      </c>
      <c r="B325" s="14" t="n">
        <v>46426</v>
      </c>
      <c r="C325" s="13" t="s">
        <v>87</v>
      </c>
      <c r="D325" s="13" t="s">
        <v>91</v>
      </c>
      <c r="E325" s="13" t="n">
        <v>4</v>
      </c>
      <c r="F325" s="15" t="str">
        <f aca="false">Jugadores!$B$17</f>
        <v>Jugador 13</v>
      </c>
      <c r="G325" s="16"/>
      <c r="H325" s="16"/>
      <c r="I325" s="16"/>
      <c r="J325" s="17" t="str">
        <f aca="false">IF(COUNT(G325:I325)=0,"",G325*55+H325*50+I325*50)</f>
        <v/>
      </c>
      <c r="K325" s="16"/>
      <c r="L325" s="16"/>
      <c r="M325" s="16"/>
      <c r="N325" s="17" t="str">
        <f aca="false">IF(COUNT(K325:M325)=0,"",MAX(K325:M325))</f>
        <v/>
      </c>
      <c r="O325" s="18" t="str">
        <f aca="false">IF(N325="","",IF(N325&gt;=7,"Sin pliometría ni velocidad. Solo isométricos, movilidad y tren superior. Valoración médica",IF(N325&gt;=4,"Sin pliometría el lunes. Sentadilla española 5x45 s","Sesión normal")))</f>
        <v/>
      </c>
      <c r="P325" s="16"/>
      <c r="Q325" s="16"/>
    </row>
    <row r="326" customFormat="false" ht="15" hidden="false" customHeight="false" outlineLevel="0" collapsed="false">
      <c r="A326" s="13" t="n">
        <v>23</v>
      </c>
      <c r="B326" s="14" t="n">
        <v>46426</v>
      </c>
      <c r="C326" s="13" t="s">
        <v>87</v>
      </c>
      <c r="D326" s="13" t="s">
        <v>91</v>
      </c>
      <c r="E326" s="13" t="n">
        <v>4</v>
      </c>
      <c r="F326" s="15" t="str">
        <f aca="false">Jugadores!$B$18</f>
        <v>Jugador 14</v>
      </c>
      <c r="G326" s="16"/>
      <c r="H326" s="16"/>
      <c r="I326" s="16"/>
      <c r="J326" s="17" t="str">
        <f aca="false">IF(COUNT(G326:I326)=0,"",G326*55+H326*50+I326*50)</f>
        <v/>
      </c>
      <c r="K326" s="16"/>
      <c r="L326" s="16"/>
      <c r="M326" s="16"/>
      <c r="N326" s="17" t="str">
        <f aca="false">IF(COUNT(K326:M326)=0,"",MAX(K326:M326))</f>
        <v/>
      </c>
      <c r="O326" s="18" t="str">
        <f aca="false">IF(N326="","",IF(N326&gt;=7,"Sin pliometría ni velocidad. Solo isométricos, movilidad y tren superior. Valoración médica",IF(N326&gt;=4,"Sin pliometría el lunes. Sentadilla española 5x45 s","Sesión normal")))</f>
        <v/>
      </c>
      <c r="P326" s="16"/>
      <c r="Q326" s="16"/>
    </row>
    <row r="327" customFormat="false" ht="15" hidden="false" customHeight="false" outlineLevel="0" collapsed="false">
      <c r="A327" s="13" t="n">
        <v>24</v>
      </c>
      <c r="B327" s="14" t="n">
        <v>46433</v>
      </c>
      <c r="C327" s="13" t="s">
        <v>87</v>
      </c>
      <c r="D327" s="13" t="s">
        <v>92</v>
      </c>
      <c r="E327" s="13" t="n">
        <v>6</v>
      </c>
      <c r="F327" s="15" t="str">
        <f aca="false">Jugadores!$B$5</f>
        <v>Jugador 1</v>
      </c>
      <c r="G327" s="16"/>
      <c r="H327" s="16"/>
      <c r="I327" s="16"/>
      <c r="J327" s="17" t="str">
        <f aca="false">IF(COUNT(G327:I327)=0,"",G327*55+H327*50+I327*50)</f>
        <v/>
      </c>
      <c r="K327" s="16"/>
      <c r="L327" s="16"/>
      <c r="M327" s="16"/>
      <c r="N327" s="17" t="str">
        <f aca="false">IF(COUNT(K327:M327)=0,"",MAX(K327:M327))</f>
        <v/>
      </c>
      <c r="O327" s="18" t="str">
        <f aca="false">IF(N327="","",IF(N327&gt;=7,"Sin pliometría ni velocidad. Solo isométricos, movilidad y tren superior. Valoración médica",IF(N327&gt;=4,"Sin pliometría el lunes. Sentadilla española 5x45 s","Sesión normal")))</f>
        <v/>
      </c>
      <c r="P327" s="16"/>
      <c r="Q327" s="16"/>
    </row>
    <row r="328" customFormat="false" ht="15" hidden="false" customHeight="false" outlineLevel="0" collapsed="false">
      <c r="A328" s="13" t="n">
        <v>24</v>
      </c>
      <c r="B328" s="14" t="n">
        <v>46433</v>
      </c>
      <c r="C328" s="13" t="s">
        <v>87</v>
      </c>
      <c r="D328" s="13" t="s">
        <v>92</v>
      </c>
      <c r="E328" s="13" t="n">
        <v>6</v>
      </c>
      <c r="F328" s="15" t="str">
        <f aca="false">Jugadores!$B$6</f>
        <v>Jugador 2</v>
      </c>
      <c r="G328" s="16"/>
      <c r="H328" s="16"/>
      <c r="I328" s="16"/>
      <c r="J328" s="17" t="str">
        <f aca="false">IF(COUNT(G328:I328)=0,"",G328*55+H328*50+I328*50)</f>
        <v/>
      </c>
      <c r="K328" s="16"/>
      <c r="L328" s="16"/>
      <c r="M328" s="16"/>
      <c r="N328" s="17" t="str">
        <f aca="false">IF(COUNT(K328:M328)=0,"",MAX(K328:M328))</f>
        <v/>
      </c>
      <c r="O328" s="18" t="str">
        <f aca="false">IF(N328="","",IF(N328&gt;=7,"Sin pliometría ni velocidad. Solo isométricos, movilidad y tren superior. Valoración médica",IF(N328&gt;=4,"Sin pliometría el lunes. Sentadilla española 5x45 s","Sesión normal")))</f>
        <v/>
      </c>
      <c r="P328" s="16"/>
      <c r="Q328" s="16"/>
    </row>
    <row r="329" customFormat="false" ht="15" hidden="false" customHeight="false" outlineLevel="0" collapsed="false">
      <c r="A329" s="13" t="n">
        <v>24</v>
      </c>
      <c r="B329" s="14" t="n">
        <v>46433</v>
      </c>
      <c r="C329" s="13" t="s">
        <v>87</v>
      </c>
      <c r="D329" s="13" t="s">
        <v>92</v>
      </c>
      <c r="E329" s="13" t="n">
        <v>6</v>
      </c>
      <c r="F329" s="15" t="str">
        <f aca="false">Jugadores!$B$7</f>
        <v>Jugador 3</v>
      </c>
      <c r="G329" s="16"/>
      <c r="H329" s="16"/>
      <c r="I329" s="16"/>
      <c r="J329" s="17" t="str">
        <f aca="false">IF(COUNT(G329:I329)=0,"",G329*55+H329*50+I329*50)</f>
        <v/>
      </c>
      <c r="K329" s="16"/>
      <c r="L329" s="16"/>
      <c r="M329" s="16"/>
      <c r="N329" s="17" t="str">
        <f aca="false">IF(COUNT(K329:M329)=0,"",MAX(K329:M329))</f>
        <v/>
      </c>
      <c r="O329" s="18" t="str">
        <f aca="false">IF(N329="","",IF(N329&gt;=7,"Sin pliometría ni velocidad. Solo isométricos, movilidad y tren superior. Valoración médica",IF(N329&gt;=4,"Sin pliometría el lunes. Sentadilla española 5x45 s","Sesión normal")))</f>
        <v/>
      </c>
      <c r="P329" s="16"/>
      <c r="Q329" s="16"/>
    </row>
    <row r="330" customFormat="false" ht="15" hidden="false" customHeight="false" outlineLevel="0" collapsed="false">
      <c r="A330" s="13" t="n">
        <v>24</v>
      </c>
      <c r="B330" s="14" t="n">
        <v>46433</v>
      </c>
      <c r="C330" s="13" t="s">
        <v>87</v>
      </c>
      <c r="D330" s="13" t="s">
        <v>92</v>
      </c>
      <c r="E330" s="13" t="n">
        <v>6</v>
      </c>
      <c r="F330" s="15" t="str">
        <f aca="false">Jugadores!$B$8</f>
        <v>Jugador 4</v>
      </c>
      <c r="G330" s="16"/>
      <c r="H330" s="16"/>
      <c r="I330" s="16"/>
      <c r="J330" s="17" t="str">
        <f aca="false">IF(COUNT(G330:I330)=0,"",G330*55+H330*50+I330*50)</f>
        <v/>
      </c>
      <c r="K330" s="16"/>
      <c r="L330" s="16"/>
      <c r="M330" s="16"/>
      <c r="N330" s="17" t="str">
        <f aca="false">IF(COUNT(K330:M330)=0,"",MAX(K330:M330))</f>
        <v/>
      </c>
      <c r="O330" s="18" t="str">
        <f aca="false">IF(N330="","",IF(N330&gt;=7,"Sin pliometría ni velocidad. Solo isométricos, movilidad y tren superior. Valoración médica",IF(N330&gt;=4,"Sin pliometría el lunes. Sentadilla española 5x45 s","Sesión normal")))</f>
        <v/>
      </c>
      <c r="P330" s="16"/>
      <c r="Q330" s="16"/>
    </row>
    <row r="331" customFormat="false" ht="15" hidden="false" customHeight="false" outlineLevel="0" collapsed="false">
      <c r="A331" s="13" t="n">
        <v>24</v>
      </c>
      <c r="B331" s="14" t="n">
        <v>46433</v>
      </c>
      <c r="C331" s="13" t="s">
        <v>87</v>
      </c>
      <c r="D331" s="13" t="s">
        <v>92</v>
      </c>
      <c r="E331" s="13" t="n">
        <v>6</v>
      </c>
      <c r="F331" s="15" t="str">
        <f aca="false">Jugadores!$B$9</f>
        <v>Jugador 5</v>
      </c>
      <c r="G331" s="16"/>
      <c r="H331" s="16"/>
      <c r="I331" s="16"/>
      <c r="J331" s="17" t="str">
        <f aca="false">IF(COUNT(G331:I331)=0,"",G331*55+H331*50+I331*50)</f>
        <v/>
      </c>
      <c r="K331" s="16"/>
      <c r="L331" s="16"/>
      <c r="M331" s="16"/>
      <c r="N331" s="17" t="str">
        <f aca="false">IF(COUNT(K331:M331)=0,"",MAX(K331:M331))</f>
        <v/>
      </c>
      <c r="O331" s="18" t="str">
        <f aca="false">IF(N331="","",IF(N331&gt;=7,"Sin pliometría ni velocidad. Solo isométricos, movilidad y tren superior. Valoración médica",IF(N331&gt;=4,"Sin pliometría el lunes. Sentadilla española 5x45 s","Sesión normal")))</f>
        <v/>
      </c>
      <c r="P331" s="16"/>
      <c r="Q331" s="16"/>
    </row>
    <row r="332" customFormat="false" ht="15" hidden="false" customHeight="false" outlineLevel="0" collapsed="false">
      <c r="A332" s="13" t="n">
        <v>24</v>
      </c>
      <c r="B332" s="14" t="n">
        <v>46433</v>
      </c>
      <c r="C332" s="13" t="s">
        <v>87</v>
      </c>
      <c r="D332" s="13" t="s">
        <v>92</v>
      </c>
      <c r="E332" s="13" t="n">
        <v>6</v>
      </c>
      <c r="F332" s="15" t="str">
        <f aca="false">Jugadores!$B$10</f>
        <v>Jugador 6</v>
      </c>
      <c r="G332" s="16"/>
      <c r="H332" s="16"/>
      <c r="I332" s="16"/>
      <c r="J332" s="17" t="str">
        <f aca="false">IF(COUNT(G332:I332)=0,"",G332*55+H332*50+I332*50)</f>
        <v/>
      </c>
      <c r="K332" s="16"/>
      <c r="L332" s="16"/>
      <c r="M332" s="16"/>
      <c r="N332" s="17" t="str">
        <f aca="false">IF(COUNT(K332:M332)=0,"",MAX(K332:M332))</f>
        <v/>
      </c>
      <c r="O332" s="18" t="str">
        <f aca="false">IF(N332="","",IF(N332&gt;=7,"Sin pliometría ni velocidad. Solo isométricos, movilidad y tren superior. Valoración médica",IF(N332&gt;=4,"Sin pliometría el lunes. Sentadilla española 5x45 s","Sesión normal")))</f>
        <v/>
      </c>
      <c r="P332" s="16"/>
      <c r="Q332" s="16"/>
    </row>
    <row r="333" customFormat="false" ht="15" hidden="false" customHeight="false" outlineLevel="0" collapsed="false">
      <c r="A333" s="13" t="n">
        <v>24</v>
      </c>
      <c r="B333" s="14" t="n">
        <v>46433</v>
      </c>
      <c r="C333" s="13" t="s">
        <v>87</v>
      </c>
      <c r="D333" s="13" t="s">
        <v>92</v>
      </c>
      <c r="E333" s="13" t="n">
        <v>6</v>
      </c>
      <c r="F333" s="15" t="str">
        <f aca="false">Jugadores!$B$11</f>
        <v>Jugador 7</v>
      </c>
      <c r="G333" s="16"/>
      <c r="H333" s="16"/>
      <c r="I333" s="16"/>
      <c r="J333" s="17" t="str">
        <f aca="false">IF(COUNT(G333:I333)=0,"",G333*55+H333*50+I333*50)</f>
        <v/>
      </c>
      <c r="K333" s="16"/>
      <c r="L333" s="16"/>
      <c r="M333" s="16"/>
      <c r="N333" s="17" t="str">
        <f aca="false">IF(COUNT(K333:M333)=0,"",MAX(K333:M333))</f>
        <v/>
      </c>
      <c r="O333" s="18" t="str">
        <f aca="false">IF(N333="","",IF(N333&gt;=7,"Sin pliometría ni velocidad. Solo isométricos, movilidad y tren superior. Valoración médica",IF(N333&gt;=4,"Sin pliometría el lunes. Sentadilla española 5x45 s","Sesión normal")))</f>
        <v/>
      </c>
      <c r="P333" s="16"/>
      <c r="Q333" s="16"/>
    </row>
    <row r="334" customFormat="false" ht="15" hidden="false" customHeight="false" outlineLevel="0" collapsed="false">
      <c r="A334" s="13" t="n">
        <v>24</v>
      </c>
      <c r="B334" s="14" t="n">
        <v>46433</v>
      </c>
      <c r="C334" s="13" t="s">
        <v>87</v>
      </c>
      <c r="D334" s="13" t="s">
        <v>92</v>
      </c>
      <c r="E334" s="13" t="n">
        <v>6</v>
      </c>
      <c r="F334" s="15" t="str">
        <f aca="false">Jugadores!$B$12</f>
        <v>Jugador 8</v>
      </c>
      <c r="G334" s="16"/>
      <c r="H334" s="16"/>
      <c r="I334" s="16"/>
      <c r="J334" s="17" t="str">
        <f aca="false">IF(COUNT(G334:I334)=0,"",G334*55+H334*50+I334*50)</f>
        <v/>
      </c>
      <c r="K334" s="16"/>
      <c r="L334" s="16"/>
      <c r="M334" s="16"/>
      <c r="N334" s="17" t="str">
        <f aca="false">IF(COUNT(K334:M334)=0,"",MAX(K334:M334))</f>
        <v/>
      </c>
      <c r="O334" s="18" t="str">
        <f aca="false">IF(N334="","",IF(N334&gt;=7,"Sin pliometría ni velocidad. Solo isométricos, movilidad y tren superior. Valoración médica",IF(N334&gt;=4,"Sin pliometría el lunes. Sentadilla española 5x45 s","Sesión normal")))</f>
        <v/>
      </c>
      <c r="P334" s="16"/>
      <c r="Q334" s="16"/>
    </row>
    <row r="335" customFormat="false" ht="15" hidden="false" customHeight="false" outlineLevel="0" collapsed="false">
      <c r="A335" s="13" t="n">
        <v>24</v>
      </c>
      <c r="B335" s="14" t="n">
        <v>46433</v>
      </c>
      <c r="C335" s="13" t="s">
        <v>87</v>
      </c>
      <c r="D335" s="13" t="s">
        <v>92</v>
      </c>
      <c r="E335" s="13" t="n">
        <v>6</v>
      </c>
      <c r="F335" s="15" t="str">
        <f aca="false">Jugadores!$B$13</f>
        <v>Jugador 9</v>
      </c>
      <c r="G335" s="16"/>
      <c r="H335" s="16"/>
      <c r="I335" s="16"/>
      <c r="J335" s="17" t="str">
        <f aca="false">IF(COUNT(G335:I335)=0,"",G335*55+H335*50+I335*50)</f>
        <v/>
      </c>
      <c r="K335" s="16"/>
      <c r="L335" s="16"/>
      <c r="M335" s="16"/>
      <c r="N335" s="17" t="str">
        <f aca="false">IF(COUNT(K335:M335)=0,"",MAX(K335:M335))</f>
        <v/>
      </c>
      <c r="O335" s="18" t="str">
        <f aca="false">IF(N335="","",IF(N335&gt;=7,"Sin pliometría ni velocidad. Solo isométricos, movilidad y tren superior. Valoración médica",IF(N335&gt;=4,"Sin pliometría el lunes. Sentadilla española 5x45 s","Sesión normal")))</f>
        <v/>
      </c>
      <c r="P335" s="16"/>
      <c r="Q335" s="16"/>
    </row>
    <row r="336" customFormat="false" ht="15" hidden="false" customHeight="false" outlineLevel="0" collapsed="false">
      <c r="A336" s="13" t="n">
        <v>24</v>
      </c>
      <c r="B336" s="14" t="n">
        <v>46433</v>
      </c>
      <c r="C336" s="13" t="s">
        <v>87</v>
      </c>
      <c r="D336" s="13" t="s">
        <v>92</v>
      </c>
      <c r="E336" s="13" t="n">
        <v>6</v>
      </c>
      <c r="F336" s="15" t="str">
        <f aca="false">Jugadores!$B$14</f>
        <v>Jugador 10</v>
      </c>
      <c r="G336" s="16"/>
      <c r="H336" s="16"/>
      <c r="I336" s="16"/>
      <c r="J336" s="17" t="str">
        <f aca="false">IF(COUNT(G336:I336)=0,"",G336*55+H336*50+I336*50)</f>
        <v/>
      </c>
      <c r="K336" s="16"/>
      <c r="L336" s="16"/>
      <c r="M336" s="16"/>
      <c r="N336" s="17" t="str">
        <f aca="false">IF(COUNT(K336:M336)=0,"",MAX(K336:M336))</f>
        <v/>
      </c>
      <c r="O336" s="18" t="str">
        <f aca="false">IF(N336="","",IF(N336&gt;=7,"Sin pliometría ni velocidad. Solo isométricos, movilidad y tren superior. Valoración médica",IF(N336&gt;=4,"Sin pliometría el lunes. Sentadilla española 5x45 s","Sesión normal")))</f>
        <v/>
      </c>
      <c r="P336" s="16"/>
      <c r="Q336" s="16"/>
    </row>
    <row r="337" customFormat="false" ht="15" hidden="false" customHeight="false" outlineLevel="0" collapsed="false">
      <c r="A337" s="13" t="n">
        <v>24</v>
      </c>
      <c r="B337" s="14" t="n">
        <v>46433</v>
      </c>
      <c r="C337" s="13" t="s">
        <v>87</v>
      </c>
      <c r="D337" s="13" t="s">
        <v>92</v>
      </c>
      <c r="E337" s="13" t="n">
        <v>6</v>
      </c>
      <c r="F337" s="15" t="str">
        <f aca="false">Jugadores!$B$15</f>
        <v>Jugador 11</v>
      </c>
      <c r="G337" s="16"/>
      <c r="H337" s="16"/>
      <c r="I337" s="16"/>
      <c r="J337" s="17" t="str">
        <f aca="false">IF(COUNT(G337:I337)=0,"",G337*55+H337*50+I337*50)</f>
        <v/>
      </c>
      <c r="K337" s="16"/>
      <c r="L337" s="16"/>
      <c r="M337" s="16"/>
      <c r="N337" s="17" t="str">
        <f aca="false">IF(COUNT(K337:M337)=0,"",MAX(K337:M337))</f>
        <v/>
      </c>
      <c r="O337" s="18" t="str">
        <f aca="false">IF(N337="","",IF(N337&gt;=7,"Sin pliometría ni velocidad. Solo isométricos, movilidad y tren superior. Valoración médica",IF(N337&gt;=4,"Sin pliometría el lunes. Sentadilla española 5x45 s","Sesión normal")))</f>
        <v/>
      </c>
      <c r="P337" s="16"/>
      <c r="Q337" s="16"/>
    </row>
    <row r="338" customFormat="false" ht="15" hidden="false" customHeight="false" outlineLevel="0" collapsed="false">
      <c r="A338" s="13" t="n">
        <v>24</v>
      </c>
      <c r="B338" s="14" t="n">
        <v>46433</v>
      </c>
      <c r="C338" s="13" t="s">
        <v>87</v>
      </c>
      <c r="D338" s="13" t="s">
        <v>92</v>
      </c>
      <c r="E338" s="13" t="n">
        <v>6</v>
      </c>
      <c r="F338" s="15" t="str">
        <f aca="false">Jugadores!$B$16</f>
        <v>Jugador 12</v>
      </c>
      <c r="G338" s="16"/>
      <c r="H338" s="16"/>
      <c r="I338" s="16"/>
      <c r="J338" s="17" t="str">
        <f aca="false">IF(COUNT(G338:I338)=0,"",G338*55+H338*50+I338*50)</f>
        <v/>
      </c>
      <c r="K338" s="16"/>
      <c r="L338" s="16"/>
      <c r="M338" s="16"/>
      <c r="N338" s="17" t="str">
        <f aca="false">IF(COUNT(K338:M338)=0,"",MAX(K338:M338))</f>
        <v/>
      </c>
      <c r="O338" s="18" t="str">
        <f aca="false">IF(N338="","",IF(N338&gt;=7,"Sin pliometría ni velocidad. Solo isométricos, movilidad y tren superior. Valoración médica",IF(N338&gt;=4,"Sin pliometría el lunes. Sentadilla española 5x45 s","Sesión normal")))</f>
        <v/>
      </c>
      <c r="P338" s="16"/>
      <c r="Q338" s="16"/>
    </row>
    <row r="339" customFormat="false" ht="15" hidden="false" customHeight="false" outlineLevel="0" collapsed="false">
      <c r="A339" s="13" t="n">
        <v>24</v>
      </c>
      <c r="B339" s="14" t="n">
        <v>46433</v>
      </c>
      <c r="C339" s="13" t="s">
        <v>87</v>
      </c>
      <c r="D339" s="13" t="s">
        <v>92</v>
      </c>
      <c r="E339" s="13" t="n">
        <v>6</v>
      </c>
      <c r="F339" s="15" t="str">
        <f aca="false">Jugadores!$B$17</f>
        <v>Jugador 13</v>
      </c>
      <c r="G339" s="16"/>
      <c r="H339" s="16"/>
      <c r="I339" s="16"/>
      <c r="J339" s="17" t="str">
        <f aca="false">IF(COUNT(G339:I339)=0,"",G339*55+H339*50+I339*50)</f>
        <v/>
      </c>
      <c r="K339" s="16"/>
      <c r="L339" s="16"/>
      <c r="M339" s="16"/>
      <c r="N339" s="17" t="str">
        <f aca="false">IF(COUNT(K339:M339)=0,"",MAX(K339:M339))</f>
        <v/>
      </c>
      <c r="O339" s="18" t="str">
        <f aca="false">IF(N339="","",IF(N339&gt;=7,"Sin pliometría ni velocidad. Solo isométricos, movilidad y tren superior. Valoración médica",IF(N339&gt;=4,"Sin pliometría el lunes. Sentadilla española 5x45 s","Sesión normal")))</f>
        <v/>
      </c>
      <c r="P339" s="16"/>
      <c r="Q339" s="16"/>
    </row>
    <row r="340" customFormat="false" ht="15" hidden="false" customHeight="false" outlineLevel="0" collapsed="false">
      <c r="A340" s="13" t="n">
        <v>24</v>
      </c>
      <c r="B340" s="14" t="n">
        <v>46433</v>
      </c>
      <c r="C340" s="13" t="s">
        <v>87</v>
      </c>
      <c r="D340" s="13" t="s">
        <v>92</v>
      </c>
      <c r="E340" s="13" t="n">
        <v>6</v>
      </c>
      <c r="F340" s="15" t="str">
        <f aca="false">Jugadores!$B$18</f>
        <v>Jugador 14</v>
      </c>
      <c r="G340" s="16"/>
      <c r="H340" s="16"/>
      <c r="I340" s="16"/>
      <c r="J340" s="17" t="str">
        <f aca="false">IF(COUNT(G340:I340)=0,"",G340*55+H340*50+I340*50)</f>
        <v/>
      </c>
      <c r="K340" s="16"/>
      <c r="L340" s="16"/>
      <c r="M340" s="16"/>
      <c r="N340" s="17" t="str">
        <f aca="false">IF(COUNT(K340:M340)=0,"",MAX(K340:M340))</f>
        <v/>
      </c>
      <c r="O340" s="18" t="str">
        <f aca="false">IF(N340="","",IF(N340&gt;=7,"Sin pliometría ni velocidad. Solo isométricos, movilidad y tren superior. Valoración médica",IF(N340&gt;=4,"Sin pliometría el lunes. Sentadilla española 5x45 s","Sesión normal")))</f>
        <v/>
      </c>
      <c r="P340" s="16"/>
      <c r="Q340" s="16"/>
    </row>
    <row r="341" customFormat="false" ht="15" hidden="false" customHeight="false" outlineLevel="0" collapsed="false">
      <c r="A341" s="13" t="n">
        <v>25</v>
      </c>
      <c r="B341" s="14" t="n">
        <v>46440</v>
      </c>
      <c r="C341" s="13" t="s">
        <v>87</v>
      </c>
      <c r="D341" s="13" t="s">
        <v>93</v>
      </c>
      <c r="E341" s="13" t="n">
        <v>4</v>
      </c>
      <c r="F341" s="15" t="str">
        <f aca="false">Jugadores!$B$5</f>
        <v>Jugador 1</v>
      </c>
      <c r="G341" s="16"/>
      <c r="H341" s="16"/>
      <c r="I341" s="16"/>
      <c r="J341" s="17" t="str">
        <f aca="false">IF(COUNT(G341:I341)=0,"",G341*55+H341*50+I341*50)</f>
        <v/>
      </c>
      <c r="K341" s="16"/>
      <c r="L341" s="16"/>
      <c r="M341" s="16"/>
      <c r="N341" s="17" t="str">
        <f aca="false">IF(COUNT(K341:M341)=0,"",MAX(K341:M341))</f>
        <v/>
      </c>
      <c r="O341" s="18" t="str">
        <f aca="false">IF(N341="","",IF(N341&gt;=7,"Sin pliometría ni velocidad. Solo isométricos, movilidad y tren superior. Valoración médica",IF(N341&gt;=4,"Sin pliometría el lunes. Sentadilla española 5x45 s","Sesión normal")))</f>
        <v/>
      </c>
      <c r="P341" s="16"/>
      <c r="Q341" s="16"/>
    </row>
    <row r="342" customFormat="false" ht="15" hidden="false" customHeight="false" outlineLevel="0" collapsed="false">
      <c r="A342" s="13" t="n">
        <v>25</v>
      </c>
      <c r="B342" s="14" t="n">
        <v>46440</v>
      </c>
      <c r="C342" s="13" t="s">
        <v>87</v>
      </c>
      <c r="D342" s="13" t="s">
        <v>93</v>
      </c>
      <c r="E342" s="13" t="n">
        <v>4</v>
      </c>
      <c r="F342" s="15" t="str">
        <f aca="false">Jugadores!$B$6</f>
        <v>Jugador 2</v>
      </c>
      <c r="G342" s="16"/>
      <c r="H342" s="16"/>
      <c r="I342" s="16"/>
      <c r="J342" s="17" t="str">
        <f aca="false">IF(COUNT(G342:I342)=0,"",G342*55+H342*50+I342*50)</f>
        <v/>
      </c>
      <c r="K342" s="16"/>
      <c r="L342" s="16"/>
      <c r="M342" s="16"/>
      <c r="N342" s="17" t="str">
        <f aca="false">IF(COUNT(K342:M342)=0,"",MAX(K342:M342))</f>
        <v/>
      </c>
      <c r="O342" s="18" t="str">
        <f aca="false">IF(N342="","",IF(N342&gt;=7,"Sin pliometría ni velocidad. Solo isométricos, movilidad y tren superior. Valoración médica",IF(N342&gt;=4,"Sin pliometría el lunes. Sentadilla española 5x45 s","Sesión normal")))</f>
        <v/>
      </c>
      <c r="P342" s="16"/>
      <c r="Q342" s="16"/>
    </row>
    <row r="343" customFormat="false" ht="15" hidden="false" customHeight="false" outlineLevel="0" collapsed="false">
      <c r="A343" s="13" t="n">
        <v>25</v>
      </c>
      <c r="B343" s="14" t="n">
        <v>46440</v>
      </c>
      <c r="C343" s="13" t="s">
        <v>87</v>
      </c>
      <c r="D343" s="13" t="s">
        <v>93</v>
      </c>
      <c r="E343" s="13" t="n">
        <v>4</v>
      </c>
      <c r="F343" s="15" t="str">
        <f aca="false">Jugadores!$B$7</f>
        <v>Jugador 3</v>
      </c>
      <c r="G343" s="16"/>
      <c r="H343" s="16"/>
      <c r="I343" s="16"/>
      <c r="J343" s="17" t="str">
        <f aca="false">IF(COUNT(G343:I343)=0,"",G343*55+H343*50+I343*50)</f>
        <v/>
      </c>
      <c r="K343" s="16"/>
      <c r="L343" s="16"/>
      <c r="M343" s="16"/>
      <c r="N343" s="17" t="str">
        <f aca="false">IF(COUNT(K343:M343)=0,"",MAX(K343:M343))</f>
        <v/>
      </c>
      <c r="O343" s="18" t="str">
        <f aca="false">IF(N343="","",IF(N343&gt;=7,"Sin pliometría ni velocidad. Solo isométricos, movilidad y tren superior. Valoración médica",IF(N343&gt;=4,"Sin pliometría el lunes. Sentadilla española 5x45 s","Sesión normal")))</f>
        <v/>
      </c>
      <c r="P343" s="16"/>
      <c r="Q343" s="16"/>
    </row>
    <row r="344" customFormat="false" ht="15" hidden="false" customHeight="false" outlineLevel="0" collapsed="false">
      <c r="A344" s="13" t="n">
        <v>25</v>
      </c>
      <c r="B344" s="14" t="n">
        <v>46440</v>
      </c>
      <c r="C344" s="13" t="s">
        <v>87</v>
      </c>
      <c r="D344" s="13" t="s">
        <v>93</v>
      </c>
      <c r="E344" s="13" t="n">
        <v>4</v>
      </c>
      <c r="F344" s="15" t="str">
        <f aca="false">Jugadores!$B$8</f>
        <v>Jugador 4</v>
      </c>
      <c r="G344" s="16"/>
      <c r="H344" s="16"/>
      <c r="I344" s="16"/>
      <c r="J344" s="17" t="str">
        <f aca="false">IF(COUNT(G344:I344)=0,"",G344*55+H344*50+I344*50)</f>
        <v/>
      </c>
      <c r="K344" s="16"/>
      <c r="L344" s="16"/>
      <c r="M344" s="16"/>
      <c r="N344" s="17" t="str">
        <f aca="false">IF(COUNT(K344:M344)=0,"",MAX(K344:M344))</f>
        <v/>
      </c>
      <c r="O344" s="18" t="str">
        <f aca="false">IF(N344="","",IF(N344&gt;=7,"Sin pliometría ni velocidad. Solo isométricos, movilidad y tren superior. Valoración médica",IF(N344&gt;=4,"Sin pliometría el lunes. Sentadilla española 5x45 s","Sesión normal")))</f>
        <v/>
      </c>
      <c r="P344" s="16"/>
      <c r="Q344" s="16"/>
    </row>
    <row r="345" customFormat="false" ht="15" hidden="false" customHeight="false" outlineLevel="0" collapsed="false">
      <c r="A345" s="13" t="n">
        <v>25</v>
      </c>
      <c r="B345" s="14" t="n">
        <v>46440</v>
      </c>
      <c r="C345" s="13" t="s">
        <v>87</v>
      </c>
      <c r="D345" s="13" t="s">
        <v>93</v>
      </c>
      <c r="E345" s="13" t="n">
        <v>4</v>
      </c>
      <c r="F345" s="15" t="str">
        <f aca="false">Jugadores!$B$9</f>
        <v>Jugador 5</v>
      </c>
      <c r="G345" s="16"/>
      <c r="H345" s="16"/>
      <c r="I345" s="16"/>
      <c r="J345" s="17" t="str">
        <f aca="false">IF(COUNT(G345:I345)=0,"",G345*55+H345*50+I345*50)</f>
        <v/>
      </c>
      <c r="K345" s="16"/>
      <c r="L345" s="16"/>
      <c r="M345" s="16"/>
      <c r="N345" s="17" t="str">
        <f aca="false">IF(COUNT(K345:M345)=0,"",MAX(K345:M345))</f>
        <v/>
      </c>
      <c r="O345" s="18" t="str">
        <f aca="false">IF(N345="","",IF(N345&gt;=7,"Sin pliometría ni velocidad. Solo isométricos, movilidad y tren superior. Valoración médica",IF(N345&gt;=4,"Sin pliometría el lunes. Sentadilla española 5x45 s","Sesión normal")))</f>
        <v/>
      </c>
      <c r="P345" s="16"/>
      <c r="Q345" s="16"/>
    </row>
    <row r="346" customFormat="false" ht="15" hidden="false" customHeight="false" outlineLevel="0" collapsed="false">
      <c r="A346" s="13" t="n">
        <v>25</v>
      </c>
      <c r="B346" s="14" t="n">
        <v>46440</v>
      </c>
      <c r="C346" s="13" t="s">
        <v>87</v>
      </c>
      <c r="D346" s="13" t="s">
        <v>93</v>
      </c>
      <c r="E346" s="13" t="n">
        <v>4</v>
      </c>
      <c r="F346" s="15" t="str">
        <f aca="false">Jugadores!$B$10</f>
        <v>Jugador 6</v>
      </c>
      <c r="G346" s="16"/>
      <c r="H346" s="16"/>
      <c r="I346" s="16"/>
      <c r="J346" s="17" t="str">
        <f aca="false">IF(COUNT(G346:I346)=0,"",G346*55+H346*50+I346*50)</f>
        <v/>
      </c>
      <c r="K346" s="16"/>
      <c r="L346" s="16"/>
      <c r="M346" s="16"/>
      <c r="N346" s="17" t="str">
        <f aca="false">IF(COUNT(K346:M346)=0,"",MAX(K346:M346))</f>
        <v/>
      </c>
      <c r="O346" s="18" t="str">
        <f aca="false">IF(N346="","",IF(N346&gt;=7,"Sin pliometría ni velocidad. Solo isométricos, movilidad y tren superior. Valoración médica",IF(N346&gt;=4,"Sin pliometría el lunes. Sentadilla española 5x45 s","Sesión normal")))</f>
        <v/>
      </c>
      <c r="P346" s="16"/>
      <c r="Q346" s="16"/>
    </row>
    <row r="347" customFormat="false" ht="15" hidden="false" customHeight="false" outlineLevel="0" collapsed="false">
      <c r="A347" s="13" t="n">
        <v>25</v>
      </c>
      <c r="B347" s="14" t="n">
        <v>46440</v>
      </c>
      <c r="C347" s="13" t="s">
        <v>87</v>
      </c>
      <c r="D347" s="13" t="s">
        <v>93</v>
      </c>
      <c r="E347" s="13" t="n">
        <v>4</v>
      </c>
      <c r="F347" s="15" t="str">
        <f aca="false">Jugadores!$B$11</f>
        <v>Jugador 7</v>
      </c>
      <c r="G347" s="16"/>
      <c r="H347" s="16"/>
      <c r="I347" s="16"/>
      <c r="J347" s="17" t="str">
        <f aca="false">IF(COUNT(G347:I347)=0,"",G347*55+H347*50+I347*50)</f>
        <v/>
      </c>
      <c r="K347" s="16"/>
      <c r="L347" s="16"/>
      <c r="M347" s="16"/>
      <c r="N347" s="17" t="str">
        <f aca="false">IF(COUNT(K347:M347)=0,"",MAX(K347:M347))</f>
        <v/>
      </c>
      <c r="O347" s="18" t="str">
        <f aca="false">IF(N347="","",IF(N347&gt;=7,"Sin pliometría ni velocidad. Solo isométricos, movilidad y tren superior. Valoración médica",IF(N347&gt;=4,"Sin pliometría el lunes. Sentadilla española 5x45 s","Sesión normal")))</f>
        <v/>
      </c>
      <c r="P347" s="16"/>
      <c r="Q347" s="16"/>
    </row>
    <row r="348" customFormat="false" ht="15" hidden="false" customHeight="false" outlineLevel="0" collapsed="false">
      <c r="A348" s="13" t="n">
        <v>25</v>
      </c>
      <c r="B348" s="14" t="n">
        <v>46440</v>
      </c>
      <c r="C348" s="13" t="s">
        <v>87</v>
      </c>
      <c r="D348" s="13" t="s">
        <v>93</v>
      </c>
      <c r="E348" s="13" t="n">
        <v>4</v>
      </c>
      <c r="F348" s="15" t="str">
        <f aca="false">Jugadores!$B$12</f>
        <v>Jugador 8</v>
      </c>
      <c r="G348" s="16"/>
      <c r="H348" s="16"/>
      <c r="I348" s="16"/>
      <c r="J348" s="17" t="str">
        <f aca="false">IF(COUNT(G348:I348)=0,"",G348*55+H348*50+I348*50)</f>
        <v/>
      </c>
      <c r="K348" s="16"/>
      <c r="L348" s="16"/>
      <c r="M348" s="16"/>
      <c r="N348" s="17" t="str">
        <f aca="false">IF(COUNT(K348:M348)=0,"",MAX(K348:M348))</f>
        <v/>
      </c>
      <c r="O348" s="18" t="str">
        <f aca="false">IF(N348="","",IF(N348&gt;=7,"Sin pliometría ni velocidad. Solo isométricos, movilidad y tren superior. Valoración médica",IF(N348&gt;=4,"Sin pliometría el lunes. Sentadilla española 5x45 s","Sesión normal")))</f>
        <v/>
      </c>
      <c r="P348" s="16"/>
      <c r="Q348" s="16"/>
    </row>
    <row r="349" customFormat="false" ht="15" hidden="false" customHeight="false" outlineLevel="0" collapsed="false">
      <c r="A349" s="13" t="n">
        <v>25</v>
      </c>
      <c r="B349" s="14" t="n">
        <v>46440</v>
      </c>
      <c r="C349" s="13" t="s">
        <v>87</v>
      </c>
      <c r="D349" s="13" t="s">
        <v>93</v>
      </c>
      <c r="E349" s="13" t="n">
        <v>4</v>
      </c>
      <c r="F349" s="15" t="str">
        <f aca="false">Jugadores!$B$13</f>
        <v>Jugador 9</v>
      </c>
      <c r="G349" s="16"/>
      <c r="H349" s="16"/>
      <c r="I349" s="16"/>
      <c r="J349" s="17" t="str">
        <f aca="false">IF(COUNT(G349:I349)=0,"",G349*55+H349*50+I349*50)</f>
        <v/>
      </c>
      <c r="K349" s="16"/>
      <c r="L349" s="16"/>
      <c r="M349" s="16"/>
      <c r="N349" s="17" t="str">
        <f aca="false">IF(COUNT(K349:M349)=0,"",MAX(K349:M349))</f>
        <v/>
      </c>
      <c r="O349" s="18" t="str">
        <f aca="false">IF(N349="","",IF(N349&gt;=7,"Sin pliometría ni velocidad. Solo isométricos, movilidad y tren superior. Valoración médica",IF(N349&gt;=4,"Sin pliometría el lunes. Sentadilla española 5x45 s","Sesión normal")))</f>
        <v/>
      </c>
      <c r="P349" s="16"/>
      <c r="Q349" s="16"/>
    </row>
    <row r="350" customFormat="false" ht="15" hidden="false" customHeight="false" outlineLevel="0" collapsed="false">
      <c r="A350" s="13" t="n">
        <v>25</v>
      </c>
      <c r="B350" s="14" t="n">
        <v>46440</v>
      </c>
      <c r="C350" s="13" t="s">
        <v>87</v>
      </c>
      <c r="D350" s="13" t="s">
        <v>93</v>
      </c>
      <c r="E350" s="13" t="n">
        <v>4</v>
      </c>
      <c r="F350" s="15" t="str">
        <f aca="false">Jugadores!$B$14</f>
        <v>Jugador 10</v>
      </c>
      <c r="G350" s="16"/>
      <c r="H350" s="16"/>
      <c r="I350" s="16"/>
      <c r="J350" s="17" t="str">
        <f aca="false">IF(COUNT(G350:I350)=0,"",G350*55+H350*50+I350*50)</f>
        <v/>
      </c>
      <c r="K350" s="16"/>
      <c r="L350" s="16"/>
      <c r="M350" s="16"/>
      <c r="N350" s="17" t="str">
        <f aca="false">IF(COUNT(K350:M350)=0,"",MAX(K350:M350))</f>
        <v/>
      </c>
      <c r="O350" s="18" t="str">
        <f aca="false">IF(N350="","",IF(N350&gt;=7,"Sin pliometría ni velocidad. Solo isométricos, movilidad y tren superior. Valoración médica",IF(N350&gt;=4,"Sin pliometría el lunes. Sentadilla española 5x45 s","Sesión normal")))</f>
        <v/>
      </c>
      <c r="P350" s="16"/>
      <c r="Q350" s="16"/>
    </row>
    <row r="351" customFormat="false" ht="15" hidden="false" customHeight="false" outlineLevel="0" collapsed="false">
      <c r="A351" s="13" t="n">
        <v>25</v>
      </c>
      <c r="B351" s="14" t="n">
        <v>46440</v>
      </c>
      <c r="C351" s="13" t="s">
        <v>87</v>
      </c>
      <c r="D351" s="13" t="s">
        <v>93</v>
      </c>
      <c r="E351" s="13" t="n">
        <v>4</v>
      </c>
      <c r="F351" s="15" t="str">
        <f aca="false">Jugadores!$B$15</f>
        <v>Jugador 11</v>
      </c>
      <c r="G351" s="16"/>
      <c r="H351" s="16"/>
      <c r="I351" s="16"/>
      <c r="J351" s="17" t="str">
        <f aca="false">IF(COUNT(G351:I351)=0,"",G351*55+H351*50+I351*50)</f>
        <v/>
      </c>
      <c r="K351" s="16"/>
      <c r="L351" s="16"/>
      <c r="M351" s="16"/>
      <c r="N351" s="17" t="str">
        <f aca="false">IF(COUNT(K351:M351)=0,"",MAX(K351:M351))</f>
        <v/>
      </c>
      <c r="O351" s="18" t="str">
        <f aca="false">IF(N351="","",IF(N351&gt;=7,"Sin pliometría ni velocidad. Solo isométricos, movilidad y tren superior. Valoración médica",IF(N351&gt;=4,"Sin pliometría el lunes. Sentadilla española 5x45 s","Sesión normal")))</f>
        <v/>
      </c>
      <c r="P351" s="16"/>
      <c r="Q351" s="16"/>
    </row>
    <row r="352" customFormat="false" ht="15" hidden="false" customHeight="false" outlineLevel="0" collapsed="false">
      <c r="A352" s="13" t="n">
        <v>25</v>
      </c>
      <c r="B352" s="14" t="n">
        <v>46440</v>
      </c>
      <c r="C352" s="13" t="s">
        <v>87</v>
      </c>
      <c r="D352" s="13" t="s">
        <v>93</v>
      </c>
      <c r="E352" s="13" t="n">
        <v>4</v>
      </c>
      <c r="F352" s="15" t="str">
        <f aca="false">Jugadores!$B$16</f>
        <v>Jugador 12</v>
      </c>
      <c r="G352" s="16"/>
      <c r="H352" s="16"/>
      <c r="I352" s="16"/>
      <c r="J352" s="17" t="str">
        <f aca="false">IF(COUNT(G352:I352)=0,"",G352*55+H352*50+I352*50)</f>
        <v/>
      </c>
      <c r="K352" s="16"/>
      <c r="L352" s="16"/>
      <c r="M352" s="16"/>
      <c r="N352" s="17" t="str">
        <f aca="false">IF(COUNT(K352:M352)=0,"",MAX(K352:M352))</f>
        <v/>
      </c>
      <c r="O352" s="18" t="str">
        <f aca="false">IF(N352="","",IF(N352&gt;=7,"Sin pliometría ni velocidad. Solo isométricos, movilidad y tren superior. Valoración médica",IF(N352&gt;=4,"Sin pliometría el lunes. Sentadilla española 5x45 s","Sesión normal")))</f>
        <v/>
      </c>
      <c r="P352" s="16"/>
      <c r="Q352" s="16"/>
    </row>
    <row r="353" customFormat="false" ht="15" hidden="false" customHeight="false" outlineLevel="0" collapsed="false">
      <c r="A353" s="13" t="n">
        <v>25</v>
      </c>
      <c r="B353" s="14" t="n">
        <v>46440</v>
      </c>
      <c r="C353" s="13" t="s">
        <v>87</v>
      </c>
      <c r="D353" s="13" t="s">
        <v>93</v>
      </c>
      <c r="E353" s="13" t="n">
        <v>4</v>
      </c>
      <c r="F353" s="15" t="str">
        <f aca="false">Jugadores!$B$17</f>
        <v>Jugador 13</v>
      </c>
      <c r="G353" s="16"/>
      <c r="H353" s="16"/>
      <c r="I353" s="16"/>
      <c r="J353" s="17" t="str">
        <f aca="false">IF(COUNT(G353:I353)=0,"",G353*55+H353*50+I353*50)</f>
        <v/>
      </c>
      <c r="K353" s="16"/>
      <c r="L353" s="16"/>
      <c r="M353" s="16"/>
      <c r="N353" s="17" t="str">
        <f aca="false">IF(COUNT(K353:M353)=0,"",MAX(K353:M353))</f>
        <v/>
      </c>
      <c r="O353" s="18" t="str">
        <f aca="false">IF(N353="","",IF(N353&gt;=7,"Sin pliometría ni velocidad. Solo isométricos, movilidad y tren superior. Valoración médica",IF(N353&gt;=4,"Sin pliometría el lunes. Sentadilla española 5x45 s","Sesión normal")))</f>
        <v/>
      </c>
      <c r="P353" s="16"/>
      <c r="Q353" s="16"/>
    </row>
    <row r="354" customFormat="false" ht="15" hidden="false" customHeight="false" outlineLevel="0" collapsed="false">
      <c r="A354" s="13" t="n">
        <v>25</v>
      </c>
      <c r="B354" s="14" t="n">
        <v>46440</v>
      </c>
      <c r="C354" s="13" t="s">
        <v>87</v>
      </c>
      <c r="D354" s="13" t="s">
        <v>93</v>
      </c>
      <c r="E354" s="13" t="n">
        <v>4</v>
      </c>
      <c r="F354" s="15" t="str">
        <f aca="false">Jugadores!$B$18</f>
        <v>Jugador 14</v>
      </c>
      <c r="G354" s="16"/>
      <c r="H354" s="16"/>
      <c r="I354" s="16"/>
      <c r="J354" s="17" t="str">
        <f aca="false">IF(COUNT(G354:I354)=0,"",G354*55+H354*50+I354*50)</f>
        <v/>
      </c>
      <c r="K354" s="16"/>
      <c r="L354" s="16"/>
      <c r="M354" s="16"/>
      <c r="N354" s="17" t="str">
        <f aca="false">IF(COUNT(K354:M354)=0,"",MAX(K354:M354))</f>
        <v/>
      </c>
      <c r="O354" s="18" t="str">
        <f aca="false">IF(N354="","",IF(N354&gt;=7,"Sin pliometría ni velocidad. Solo isométricos, movilidad y tren superior. Valoración médica",IF(N354&gt;=4,"Sin pliometría el lunes. Sentadilla española 5x45 s","Sesión normal")))</f>
        <v/>
      </c>
      <c r="P354" s="16"/>
      <c r="Q354" s="16"/>
    </row>
    <row r="355" customFormat="false" ht="15" hidden="false" customHeight="false" outlineLevel="0" collapsed="false">
      <c r="A355" s="13" t="n">
        <v>26</v>
      </c>
      <c r="B355" s="14" t="n">
        <v>46447</v>
      </c>
      <c r="C355" s="13" t="s">
        <v>94</v>
      </c>
      <c r="D355" s="13" t="s">
        <v>95</v>
      </c>
      <c r="E355" s="13" t="n">
        <v>5</v>
      </c>
      <c r="F355" s="15" t="str">
        <f aca="false">Jugadores!$B$5</f>
        <v>Jugador 1</v>
      </c>
      <c r="G355" s="16"/>
      <c r="H355" s="16"/>
      <c r="I355" s="16"/>
      <c r="J355" s="17" t="str">
        <f aca="false">IF(COUNT(G355:I355)=0,"",G355*55+H355*50+I355*50)</f>
        <v/>
      </c>
      <c r="K355" s="16"/>
      <c r="L355" s="16"/>
      <c r="M355" s="16"/>
      <c r="N355" s="17" t="str">
        <f aca="false">IF(COUNT(K355:M355)=0,"",MAX(K355:M355))</f>
        <v/>
      </c>
      <c r="O355" s="18" t="str">
        <f aca="false">IF(N355="","",IF(N355&gt;=7,"Sin pliometría ni velocidad. Solo isométricos, movilidad y tren superior. Valoración médica",IF(N355&gt;=4,"Sin pliometría el lunes. Sentadilla española 5x45 s","Sesión normal")))</f>
        <v/>
      </c>
      <c r="P355" s="16"/>
      <c r="Q355" s="16"/>
    </row>
    <row r="356" customFormat="false" ht="15" hidden="false" customHeight="false" outlineLevel="0" collapsed="false">
      <c r="A356" s="13" t="n">
        <v>26</v>
      </c>
      <c r="B356" s="14" t="n">
        <v>46447</v>
      </c>
      <c r="C356" s="13" t="s">
        <v>94</v>
      </c>
      <c r="D356" s="13" t="s">
        <v>95</v>
      </c>
      <c r="E356" s="13" t="n">
        <v>5</v>
      </c>
      <c r="F356" s="15" t="str">
        <f aca="false">Jugadores!$B$6</f>
        <v>Jugador 2</v>
      </c>
      <c r="G356" s="16"/>
      <c r="H356" s="16"/>
      <c r="I356" s="16"/>
      <c r="J356" s="17" t="str">
        <f aca="false">IF(COUNT(G356:I356)=0,"",G356*55+H356*50+I356*50)</f>
        <v/>
      </c>
      <c r="K356" s="16"/>
      <c r="L356" s="16"/>
      <c r="M356" s="16"/>
      <c r="N356" s="17" t="str">
        <f aca="false">IF(COUNT(K356:M356)=0,"",MAX(K356:M356))</f>
        <v/>
      </c>
      <c r="O356" s="18" t="str">
        <f aca="false">IF(N356="","",IF(N356&gt;=7,"Sin pliometría ni velocidad. Solo isométricos, movilidad y tren superior. Valoración médica",IF(N356&gt;=4,"Sin pliometría el lunes. Sentadilla española 5x45 s","Sesión normal")))</f>
        <v/>
      </c>
      <c r="P356" s="16"/>
      <c r="Q356" s="16"/>
    </row>
    <row r="357" customFormat="false" ht="15" hidden="false" customHeight="false" outlineLevel="0" collapsed="false">
      <c r="A357" s="13" t="n">
        <v>26</v>
      </c>
      <c r="B357" s="14" t="n">
        <v>46447</v>
      </c>
      <c r="C357" s="13" t="s">
        <v>94</v>
      </c>
      <c r="D357" s="13" t="s">
        <v>95</v>
      </c>
      <c r="E357" s="13" t="n">
        <v>5</v>
      </c>
      <c r="F357" s="15" t="str">
        <f aca="false">Jugadores!$B$7</f>
        <v>Jugador 3</v>
      </c>
      <c r="G357" s="16"/>
      <c r="H357" s="16"/>
      <c r="I357" s="16"/>
      <c r="J357" s="17" t="str">
        <f aca="false">IF(COUNT(G357:I357)=0,"",G357*55+H357*50+I357*50)</f>
        <v/>
      </c>
      <c r="K357" s="16"/>
      <c r="L357" s="16"/>
      <c r="M357" s="16"/>
      <c r="N357" s="17" t="str">
        <f aca="false">IF(COUNT(K357:M357)=0,"",MAX(K357:M357))</f>
        <v/>
      </c>
      <c r="O357" s="18" t="str">
        <f aca="false">IF(N357="","",IF(N357&gt;=7,"Sin pliometría ni velocidad. Solo isométricos, movilidad y tren superior. Valoración médica",IF(N357&gt;=4,"Sin pliometría el lunes. Sentadilla española 5x45 s","Sesión normal")))</f>
        <v/>
      </c>
      <c r="P357" s="16"/>
      <c r="Q357" s="16"/>
    </row>
    <row r="358" customFormat="false" ht="15" hidden="false" customHeight="false" outlineLevel="0" collapsed="false">
      <c r="A358" s="13" t="n">
        <v>26</v>
      </c>
      <c r="B358" s="14" t="n">
        <v>46447</v>
      </c>
      <c r="C358" s="13" t="s">
        <v>94</v>
      </c>
      <c r="D358" s="13" t="s">
        <v>95</v>
      </c>
      <c r="E358" s="13" t="n">
        <v>5</v>
      </c>
      <c r="F358" s="15" t="str">
        <f aca="false">Jugadores!$B$8</f>
        <v>Jugador 4</v>
      </c>
      <c r="G358" s="16"/>
      <c r="H358" s="16"/>
      <c r="I358" s="16"/>
      <c r="J358" s="17" t="str">
        <f aca="false">IF(COUNT(G358:I358)=0,"",G358*55+H358*50+I358*50)</f>
        <v/>
      </c>
      <c r="K358" s="16"/>
      <c r="L358" s="16"/>
      <c r="M358" s="16"/>
      <c r="N358" s="17" t="str">
        <f aca="false">IF(COUNT(K358:M358)=0,"",MAX(K358:M358))</f>
        <v/>
      </c>
      <c r="O358" s="18" t="str">
        <f aca="false">IF(N358="","",IF(N358&gt;=7,"Sin pliometría ni velocidad. Solo isométricos, movilidad y tren superior. Valoración médica",IF(N358&gt;=4,"Sin pliometría el lunes. Sentadilla española 5x45 s","Sesión normal")))</f>
        <v/>
      </c>
      <c r="P358" s="16"/>
      <c r="Q358" s="16"/>
    </row>
    <row r="359" customFormat="false" ht="15" hidden="false" customHeight="false" outlineLevel="0" collapsed="false">
      <c r="A359" s="13" t="n">
        <v>26</v>
      </c>
      <c r="B359" s="14" t="n">
        <v>46447</v>
      </c>
      <c r="C359" s="13" t="s">
        <v>94</v>
      </c>
      <c r="D359" s="13" t="s">
        <v>95</v>
      </c>
      <c r="E359" s="13" t="n">
        <v>5</v>
      </c>
      <c r="F359" s="15" t="str">
        <f aca="false">Jugadores!$B$9</f>
        <v>Jugador 5</v>
      </c>
      <c r="G359" s="16"/>
      <c r="H359" s="16"/>
      <c r="I359" s="16"/>
      <c r="J359" s="17" t="str">
        <f aca="false">IF(COUNT(G359:I359)=0,"",G359*55+H359*50+I359*50)</f>
        <v/>
      </c>
      <c r="K359" s="16"/>
      <c r="L359" s="16"/>
      <c r="M359" s="16"/>
      <c r="N359" s="17" t="str">
        <f aca="false">IF(COUNT(K359:M359)=0,"",MAX(K359:M359))</f>
        <v/>
      </c>
      <c r="O359" s="18" t="str">
        <f aca="false">IF(N359="","",IF(N359&gt;=7,"Sin pliometría ni velocidad. Solo isométricos, movilidad y tren superior. Valoración médica",IF(N359&gt;=4,"Sin pliometría el lunes. Sentadilla española 5x45 s","Sesión normal")))</f>
        <v/>
      </c>
      <c r="P359" s="16"/>
      <c r="Q359" s="16"/>
    </row>
    <row r="360" customFormat="false" ht="15" hidden="false" customHeight="false" outlineLevel="0" collapsed="false">
      <c r="A360" s="13" t="n">
        <v>26</v>
      </c>
      <c r="B360" s="14" t="n">
        <v>46447</v>
      </c>
      <c r="C360" s="13" t="s">
        <v>94</v>
      </c>
      <c r="D360" s="13" t="s">
        <v>95</v>
      </c>
      <c r="E360" s="13" t="n">
        <v>5</v>
      </c>
      <c r="F360" s="15" t="str">
        <f aca="false">Jugadores!$B$10</f>
        <v>Jugador 6</v>
      </c>
      <c r="G360" s="16"/>
      <c r="H360" s="16"/>
      <c r="I360" s="16"/>
      <c r="J360" s="17" t="str">
        <f aca="false">IF(COUNT(G360:I360)=0,"",G360*55+H360*50+I360*50)</f>
        <v/>
      </c>
      <c r="K360" s="16"/>
      <c r="L360" s="16"/>
      <c r="M360" s="16"/>
      <c r="N360" s="17" t="str">
        <f aca="false">IF(COUNT(K360:M360)=0,"",MAX(K360:M360))</f>
        <v/>
      </c>
      <c r="O360" s="18" t="str">
        <f aca="false">IF(N360="","",IF(N360&gt;=7,"Sin pliometría ni velocidad. Solo isométricos, movilidad y tren superior. Valoración médica",IF(N360&gt;=4,"Sin pliometría el lunes. Sentadilla española 5x45 s","Sesión normal")))</f>
        <v/>
      </c>
      <c r="P360" s="16"/>
      <c r="Q360" s="16"/>
    </row>
    <row r="361" customFormat="false" ht="15" hidden="false" customHeight="false" outlineLevel="0" collapsed="false">
      <c r="A361" s="13" t="n">
        <v>26</v>
      </c>
      <c r="B361" s="14" t="n">
        <v>46447</v>
      </c>
      <c r="C361" s="13" t="s">
        <v>94</v>
      </c>
      <c r="D361" s="13" t="s">
        <v>95</v>
      </c>
      <c r="E361" s="13" t="n">
        <v>5</v>
      </c>
      <c r="F361" s="15" t="str">
        <f aca="false">Jugadores!$B$11</f>
        <v>Jugador 7</v>
      </c>
      <c r="G361" s="16"/>
      <c r="H361" s="16"/>
      <c r="I361" s="16"/>
      <c r="J361" s="17" t="str">
        <f aca="false">IF(COUNT(G361:I361)=0,"",G361*55+H361*50+I361*50)</f>
        <v/>
      </c>
      <c r="K361" s="16"/>
      <c r="L361" s="16"/>
      <c r="M361" s="16"/>
      <c r="N361" s="17" t="str">
        <f aca="false">IF(COUNT(K361:M361)=0,"",MAX(K361:M361))</f>
        <v/>
      </c>
      <c r="O361" s="18" t="str">
        <f aca="false">IF(N361="","",IF(N361&gt;=7,"Sin pliometría ni velocidad. Solo isométricos, movilidad y tren superior. Valoración médica",IF(N361&gt;=4,"Sin pliometría el lunes. Sentadilla española 5x45 s","Sesión normal")))</f>
        <v/>
      </c>
      <c r="P361" s="16"/>
      <c r="Q361" s="16"/>
    </row>
    <row r="362" customFormat="false" ht="15" hidden="false" customHeight="false" outlineLevel="0" collapsed="false">
      <c r="A362" s="13" t="n">
        <v>26</v>
      </c>
      <c r="B362" s="14" t="n">
        <v>46447</v>
      </c>
      <c r="C362" s="13" t="s">
        <v>94</v>
      </c>
      <c r="D362" s="13" t="s">
        <v>95</v>
      </c>
      <c r="E362" s="13" t="n">
        <v>5</v>
      </c>
      <c r="F362" s="15" t="str">
        <f aca="false">Jugadores!$B$12</f>
        <v>Jugador 8</v>
      </c>
      <c r="G362" s="16"/>
      <c r="H362" s="16"/>
      <c r="I362" s="16"/>
      <c r="J362" s="17" t="str">
        <f aca="false">IF(COUNT(G362:I362)=0,"",G362*55+H362*50+I362*50)</f>
        <v/>
      </c>
      <c r="K362" s="16"/>
      <c r="L362" s="16"/>
      <c r="M362" s="16"/>
      <c r="N362" s="17" t="str">
        <f aca="false">IF(COUNT(K362:M362)=0,"",MAX(K362:M362))</f>
        <v/>
      </c>
      <c r="O362" s="18" t="str">
        <f aca="false">IF(N362="","",IF(N362&gt;=7,"Sin pliometría ni velocidad. Solo isométricos, movilidad y tren superior. Valoración médica",IF(N362&gt;=4,"Sin pliometría el lunes. Sentadilla española 5x45 s","Sesión normal")))</f>
        <v/>
      </c>
      <c r="P362" s="16"/>
      <c r="Q362" s="16"/>
    </row>
    <row r="363" customFormat="false" ht="15" hidden="false" customHeight="false" outlineLevel="0" collapsed="false">
      <c r="A363" s="13" t="n">
        <v>26</v>
      </c>
      <c r="B363" s="14" t="n">
        <v>46447</v>
      </c>
      <c r="C363" s="13" t="s">
        <v>94</v>
      </c>
      <c r="D363" s="13" t="s">
        <v>95</v>
      </c>
      <c r="E363" s="13" t="n">
        <v>5</v>
      </c>
      <c r="F363" s="15" t="str">
        <f aca="false">Jugadores!$B$13</f>
        <v>Jugador 9</v>
      </c>
      <c r="G363" s="16"/>
      <c r="H363" s="16"/>
      <c r="I363" s="16"/>
      <c r="J363" s="17" t="str">
        <f aca="false">IF(COUNT(G363:I363)=0,"",G363*55+H363*50+I363*50)</f>
        <v/>
      </c>
      <c r="K363" s="16"/>
      <c r="L363" s="16"/>
      <c r="M363" s="16"/>
      <c r="N363" s="17" t="str">
        <f aca="false">IF(COUNT(K363:M363)=0,"",MAX(K363:M363))</f>
        <v/>
      </c>
      <c r="O363" s="18" t="str">
        <f aca="false">IF(N363="","",IF(N363&gt;=7,"Sin pliometría ni velocidad. Solo isométricos, movilidad y tren superior. Valoración médica",IF(N363&gt;=4,"Sin pliometría el lunes. Sentadilla española 5x45 s","Sesión normal")))</f>
        <v/>
      </c>
      <c r="P363" s="16"/>
      <c r="Q363" s="16"/>
    </row>
    <row r="364" customFormat="false" ht="15" hidden="false" customHeight="false" outlineLevel="0" collapsed="false">
      <c r="A364" s="13" t="n">
        <v>26</v>
      </c>
      <c r="B364" s="14" t="n">
        <v>46447</v>
      </c>
      <c r="C364" s="13" t="s">
        <v>94</v>
      </c>
      <c r="D364" s="13" t="s">
        <v>95</v>
      </c>
      <c r="E364" s="13" t="n">
        <v>5</v>
      </c>
      <c r="F364" s="15" t="str">
        <f aca="false">Jugadores!$B$14</f>
        <v>Jugador 10</v>
      </c>
      <c r="G364" s="16"/>
      <c r="H364" s="16"/>
      <c r="I364" s="16"/>
      <c r="J364" s="17" t="str">
        <f aca="false">IF(COUNT(G364:I364)=0,"",G364*55+H364*50+I364*50)</f>
        <v/>
      </c>
      <c r="K364" s="16"/>
      <c r="L364" s="16"/>
      <c r="M364" s="16"/>
      <c r="N364" s="17" t="str">
        <f aca="false">IF(COUNT(K364:M364)=0,"",MAX(K364:M364))</f>
        <v/>
      </c>
      <c r="O364" s="18" t="str">
        <f aca="false">IF(N364="","",IF(N364&gt;=7,"Sin pliometría ni velocidad. Solo isométricos, movilidad y tren superior. Valoración médica",IF(N364&gt;=4,"Sin pliometría el lunes. Sentadilla española 5x45 s","Sesión normal")))</f>
        <v/>
      </c>
      <c r="P364" s="16"/>
      <c r="Q364" s="16"/>
    </row>
    <row r="365" customFormat="false" ht="15" hidden="false" customHeight="false" outlineLevel="0" collapsed="false">
      <c r="A365" s="13" t="n">
        <v>26</v>
      </c>
      <c r="B365" s="14" t="n">
        <v>46447</v>
      </c>
      <c r="C365" s="13" t="s">
        <v>94</v>
      </c>
      <c r="D365" s="13" t="s">
        <v>95</v>
      </c>
      <c r="E365" s="13" t="n">
        <v>5</v>
      </c>
      <c r="F365" s="15" t="str">
        <f aca="false">Jugadores!$B$15</f>
        <v>Jugador 11</v>
      </c>
      <c r="G365" s="16"/>
      <c r="H365" s="16"/>
      <c r="I365" s="16"/>
      <c r="J365" s="17" t="str">
        <f aca="false">IF(COUNT(G365:I365)=0,"",G365*55+H365*50+I365*50)</f>
        <v/>
      </c>
      <c r="K365" s="16"/>
      <c r="L365" s="16"/>
      <c r="M365" s="16"/>
      <c r="N365" s="17" t="str">
        <f aca="false">IF(COUNT(K365:M365)=0,"",MAX(K365:M365))</f>
        <v/>
      </c>
      <c r="O365" s="18" t="str">
        <f aca="false">IF(N365="","",IF(N365&gt;=7,"Sin pliometría ni velocidad. Solo isométricos, movilidad y tren superior. Valoración médica",IF(N365&gt;=4,"Sin pliometría el lunes. Sentadilla española 5x45 s","Sesión normal")))</f>
        <v/>
      </c>
      <c r="P365" s="16"/>
      <c r="Q365" s="16"/>
    </row>
    <row r="366" customFormat="false" ht="15" hidden="false" customHeight="false" outlineLevel="0" collapsed="false">
      <c r="A366" s="13" t="n">
        <v>26</v>
      </c>
      <c r="B366" s="14" t="n">
        <v>46447</v>
      </c>
      <c r="C366" s="13" t="s">
        <v>94</v>
      </c>
      <c r="D366" s="13" t="s">
        <v>95</v>
      </c>
      <c r="E366" s="13" t="n">
        <v>5</v>
      </c>
      <c r="F366" s="15" t="str">
        <f aca="false">Jugadores!$B$16</f>
        <v>Jugador 12</v>
      </c>
      <c r="G366" s="16"/>
      <c r="H366" s="16"/>
      <c r="I366" s="16"/>
      <c r="J366" s="17" t="str">
        <f aca="false">IF(COUNT(G366:I366)=0,"",G366*55+H366*50+I366*50)</f>
        <v/>
      </c>
      <c r="K366" s="16"/>
      <c r="L366" s="16"/>
      <c r="M366" s="16"/>
      <c r="N366" s="17" t="str">
        <f aca="false">IF(COUNT(K366:M366)=0,"",MAX(K366:M366))</f>
        <v/>
      </c>
      <c r="O366" s="18" t="str">
        <f aca="false">IF(N366="","",IF(N366&gt;=7,"Sin pliometría ni velocidad. Solo isométricos, movilidad y tren superior. Valoración médica",IF(N366&gt;=4,"Sin pliometría el lunes. Sentadilla española 5x45 s","Sesión normal")))</f>
        <v/>
      </c>
      <c r="P366" s="16"/>
      <c r="Q366" s="16"/>
    </row>
    <row r="367" customFormat="false" ht="15" hidden="false" customHeight="false" outlineLevel="0" collapsed="false">
      <c r="A367" s="13" t="n">
        <v>26</v>
      </c>
      <c r="B367" s="14" t="n">
        <v>46447</v>
      </c>
      <c r="C367" s="13" t="s">
        <v>94</v>
      </c>
      <c r="D367" s="13" t="s">
        <v>95</v>
      </c>
      <c r="E367" s="13" t="n">
        <v>5</v>
      </c>
      <c r="F367" s="15" t="str">
        <f aca="false">Jugadores!$B$17</f>
        <v>Jugador 13</v>
      </c>
      <c r="G367" s="16"/>
      <c r="H367" s="16"/>
      <c r="I367" s="16"/>
      <c r="J367" s="17" t="str">
        <f aca="false">IF(COUNT(G367:I367)=0,"",G367*55+H367*50+I367*50)</f>
        <v/>
      </c>
      <c r="K367" s="16"/>
      <c r="L367" s="16"/>
      <c r="M367" s="16"/>
      <c r="N367" s="17" t="str">
        <f aca="false">IF(COUNT(K367:M367)=0,"",MAX(K367:M367))</f>
        <v/>
      </c>
      <c r="O367" s="18" t="str">
        <f aca="false">IF(N367="","",IF(N367&gt;=7,"Sin pliometría ni velocidad. Solo isométricos, movilidad y tren superior. Valoración médica",IF(N367&gt;=4,"Sin pliometría el lunes. Sentadilla española 5x45 s","Sesión normal")))</f>
        <v/>
      </c>
      <c r="P367" s="16"/>
      <c r="Q367" s="16"/>
    </row>
    <row r="368" customFormat="false" ht="15" hidden="false" customHeight="false" outlineLevel="0" collapsed="false">
      <c r="A368" s="13" t="n">
        <v>26</v>
      </c>
      <c r="B368" s="14" t="n">
        <v>46447</v>
      </c>
      <c r="C368" s="13" t="s">
        <v>94</v>
      </c>
      <c r="D368" s="13" t="s">
        <v>95</v>
      </c>
      <c r="E368" s="13" t="n">
        <v>5</v>
      </c>
      <c r="F368" s="15" t="str">
        <f aca="false">Jugadores!$B$18</f>
        <v>Jugador 14</v>
      </c>
      <c r="G368" s="16"/>
      <c r="H368" s="16"/>
      <c r="I368" s="16"/>
      <c r="J368" s="17" t="str">
        <f aca="false">IF(COUNT(G368:I368)=0,"",G368*55+H368*50+I368*50)</f>
        <v/>
      </c>
      <c r="K368" s="16"/>
      <c r="L368" s="16"/>
      <c r="M368" s="16"/>
      <c r="N368" s="17" t="str">
        <f aca="false">IF(COUNT(K368:M368)=0,"",MAX(K368:M368))</f>
        <v/>
      </c>
      <c r="O368" s="18" t="str">
        <f aca="false">IF(N368="","",IF(N368&gt;=7,"Sin pliometría ni velocidad. Solo isométricos, movilidad y tren superior. Valoración médica",IF(N368&gt;=4,"Sin pliometría el lunes. Sentadilla española 5x45 s","Sesión normal")))</f>
        <v/>
      </c>
      <c r="P368" s="16"/>
      <c r="Q368" s="16"/>
    </row>
    <row r="369" customFormat="false" ht="15" hidden="false" customHeight="false" outlineLevel="0" collapsed="false">
      <c r="A369" s="13" t="n">
        <v>27</v>
      </c>
      <c r="B369" s="14" t="n">
        <v>46454</v>
      </c>
      <c r="C369" s="13" t="s">
        <v>94</v>
      </c>
      <c r="D369" s="13" t="s">
        <v>96</v>
      </c>
      <c r="E369" s="13" t="n">
        <v>4</v>
      </c>
      <c r="F369" s="15" t="str">
        <f aca="false">Jugadores!$B$5</f>
        <v>Jugador 1</v>
      </c>
      <c r="G369" s="16"/>
      <c r="H369" s="16"/>
      <c r="I369" s="16"/>
      <c r="J369" s="17" t="str">
        <f aca="false">IF(COUNT(G369:I369)=0,"",G369*55+H369*50+I369*50)</f>
        <v/>
      </c>
      <c r="K369" s="16"/>
      <c r="L369" s="16"/>
      <c r="M369" s="16"/>
      <c r="N369" s="17" t="str">
        <f aca="false">IF(COUNT(K369:M369)=0,"",MAX(K369:M369))</f>
        <v/>
      </c>
      <c r="O369" s="18" t="str">
        <f aca="false">IF(N369="","",IF(N369&gt;=7,"Sin pliometría ni velocidad. Solo isométricos, movilidad y tren superior. Valoración médica",IF(N369&gt;=4,"Sin pliometría el lunes. Sentadilla española 5x45 s","Sesión normal")))</f>
        <v/>
      </c>
      <c r="P369" s="16"/>
      <c r="Q369" s="16"/>
    </row>
    <row r="370" customFormat="false" ht="15" hidden="false" customHeight="false" outlineLevel="0" collapsed="false">
      <c r="A370" s="13" t="n">
        <v>27</v>
      </c>
      <c r="B370" s="14" t="n">
        <v>46454</v>
      </c>
      <c r="C370" s="13" t="s">
        <v>94</v>
      </c>
      <c r="D370" s="13" t="s">
        <v>96</v>
      </c>
      <c r="E370" s="13" t="n">
        <v>4</v>
      </c>
      <c r="F370" s="15" t="str">
        <f aca="false">Jugadores!$B$6</f>
        <v>Jugador 2</v>
      </c>
      <c r="G370" s="16"/>
      <c r="H370" s="16"/>
      <c r="I370" s="16"/>
      <c r="J370" s="17" t="str">
        <f aca="false">IF(COUNT(G370:I370)=0,"",G370*55+H370*50+I370*50)</f>
        <v/>
      </c>
      <c r="K370" s="16"/>
      <c r="L370" s="16"/>
      <c r="M370" s="16"/>
      <c r="N370" s="17" t="str">
        <f aca="false">IF(COUNT(K370:M370)=0,"",MAX(K370:M370))</f>
        <v/>
      </c>
      <c r="O370" s="18" t="str">
        <f aca="false">IF(N370="","",IF(N370&gt;=7,"Sin pliometría ni velocidad. Solo isométricos, movilidad y tren superior. Valoración médica",IF(N370&gt;=4,"Sin pliometría el lunes. Sentadilla española 5x45 s","Sesión normal")))</f>
        <v/>
      </c>
      <c r="P370" s="16"/>
      <c r="Q370" s="16"/>
    </row>
    <row r="371" customFormat="false" ht="15" hidden="false" customHeight="false" outlineLevel="0" collapsed="false">
      <c r="A371" s="13" t="n">
        <v>27</v>
      </c>
      <c r="B371" s="14" t="n">
        <v>46454</v>
      </c>
      <c r="C371" s="13" t="s">
        <v>94</v>
      </c>
      <c r="D371" s="13" t="s">
        <v>96</v>
      </c>
      <c r="E371" s="13" t="n">
        <v>4</v>
      </c>
      <c r="F371" s="15" t="str">
        <f aca="false">Jugadores!$B$7</f>
        <v>Jugador 3</v>
      </c>
      <c r="G371" s="16"/>
      <c r="H371" s="16"/>
      <c r="I371" s="16"/>
      <c r="J371" s="17" t="str">
        <f aca="false">IF(COUNT(G371:I371)=0,"",G371*55+H371*50+I371*50)</f>
        <v/>
      </c>
      <c r="K371" s="16"/>
      <c r="L371" s="16"/>
      <c r="M371" s="16"/>
      <c r="N371" s="17" t="str">
        <f aca="false">IF(COUNT(K371:M371)=0,"",MAX(K371:M371))</f>
        <v/>
      </c>
      <c r="O371" s="18" t="str">
        <f aca="false">IF(N371="","",IF(N371&gt;=7,"Sin pliometría ni velocidad. Solo isométricos, movilidad y tren superior. Valoración médica",IF(N371&gt;=4,"Sin pliometría el lunes. Sentadilla española 5x45 s","Sesión normal")))</f>
        <v/>
      </c>
      <c r="P371" s="16"/>
      <c r="Q371" s="16"/>
    </row>
    <row r="372" customFormat="false" ht="15" hidden="false" customHeight="false" outlineLevel="0" collapsed="false">
      <c r="A372" s="13" t="n">
        <v>27</v>
      </c>
      <c r="B372" s="14" t="n">
        <v>46454</v>
      </c>
      <c r="C372" s="13" t="s">
        <v>94</v>
      </c>
      <c r="D372" s="13" t="s">
        <v>96</v>
      </c>
      <c r="E372" s="13" t="n">
        <v>4</v>
      </c>
      <c r="F372" s="15" t="str">
        <f aca="false">Jugadores!$B$8</f>
        <v>Jugador 4</v>
      </c>
      <c r="G372" s="16"/>
      <c r="H372" s="16"/>
      <c r="I372" s="16"/>
      <c r="J372" s="17" t="str">
        <f aca="false">IF(COUNT(G372:I372)=0,"",G372*55+H372*50+I372*50)</f>
        <v/>
      </c>
      <c r="K372" s="16"/>
      <c r="L372" s="16"/>
      <c r="M372" s="16"/>
      <c r="N372" s="17" t="str">
        <f aca="false">IF(COUNT(K372:M372)=0,"",MAX(K372:M372))</f>
        <v/>
      </c>
      <c r="O372" s="18" t="str">
        <f aca="false">IF(N372="","",IF(N372&gt;=7,"Sin pliometría ni velocidad. Solo isométricos, movilidad y tren superior. Valoración médica",IF(N372&gt;=4,"Sin pliometría el lunes. Sentadilla española 5x45 s","Sesión normal")))</f>
        <v/>
      </c>
      <c r="P372" s="16"/>
      <c r="Q372" s="16"/>
    </row>
    <row r="373" customFormat="false" ht="15" hidden="false" customHeight="false" outlineLevel="0" collapsed="false">
      <c r="A373" s="13" t="n">
        <v>27</v>
      </c>
      <c r="B373" s="14" t="n">
        <v>46454</v>
      </c>
      <c r="C373" s="13" t="s">
        <v>94</v>
      </c>
      <c r="D373" s="13" t="s">
        <v>96</v>
      </c>
      <c r="E373" s="13" t="n">
        <v>4</v>
      </c>
      <c r="F373" s="15" t="str">
        <f aca="false">Jugadores!$B$9</f>
        <v>Jugador 5</v>
      </c>
      <c r="G373" s="16"/>
      <c r="H373" s="16"/>
      <c r="I373" s="16"/>
      <c r="J373" s="17" t="str">
        <f aca="false">IF(COUNT(G373:I373)=0,"",G373*55+H373*50+I373*50)</f>
        <v/>
      </c>
      <c r="K373" s="16"/>
      <c r="L373" s="16"/>
      <c r="M373" s="16"/>
      <c r="N373" s="17" t="str">
        <f aca="false">IF(COUNT(K373:M373)=0,"",MAX(K373:M373))</f>
        <v/>
      </c>
      <c r="O373" s="18" t="str">
        <f aca="false">IF(N373="","",IF(N373&gt;=7,"Sin pliometría ni velocidad. Solo isométricos, movilidad y tren superior. Valoración médica",IF(N373&gt;=4,"Sin pliometría el lunes. Sentadilla española 5x45 s","Sesión normal")))</f>
        <v/>
      </c>
      <c r="P373" s="16"/>
      <c r="Q373" s="16"/>
    </row>
    <row r="374" customFormat="false" ht="15" hidden="false" customHeight="false" outlineLevel="0" collapsed="false">
      <c r="A374" s="13" t="n">
        <v>27</v>
      </c>
      <c r="B374" s="14" t="n">
        <v>46454</v>
      </c>
      <c r="C374" s="13" t="s">
        <v>94</v>
      </c>
      <c r="D374" s="13" t="s">
        <v>96</v>
      </c>
      <c r="E374" s="13" t="n">
        <v>4</v>
      </c>
      <c r="F374" s="15" t="str">
        <f aca="false">Jugadores!$B$10</f>
        <v>Jugador 6</v>
      </c>
      <c r="G374" s="16"/>
      <c r="H374" s="16"/>
      <c r="I374" s="16"/>
      <c r="J374" s="17" t="str">
        <f aca="false">IF(COUNT(G374:I374)=0,"",G374*55+H374*50+I374*50)</f>
        <v/>
      </c>
      <c r="K374" s="16"/>
      <c r="L374" s="16"/>
      <c r="M374" s="16"/>
      <c r="N374" s="17" t="str">
        <f aca="false">IF(COUNT(K374:M374)=0,"",MAX(K374:M374))</f>
        <v/>
      </c>
      <c r="O374" s="18" t="str">
        <f aca="false">IF(N374="","",IF(N374&gt;=7,"Sin pliometría ni velocidad. Solo isométricos, movilidad y tren superior. Valoración médica",IF(N374&gt;=4,"Sin pliometría el lunes. Sentadilla española 5x45 s","Sesión normal")))</f>
        <v/>
      </c>
      <c r="P374" s="16"/>
      <c r="Q374" s="16"/>
    </row>
    <row r="375" customFormat="false" ht="15" hidden="false" customHeight="false" outlineLevel="0" collapsed="false">
      <c r="A375" s="13" t="n">
        <v>27</v>
      </c>
      <c r="B375" s="14" t="n">
        <v>46454</v>
      </c>
      <c r="C375" s="13" t="s">
        <v>94</v>
      </c>
      <c r="D375" s="13" t="s">
        <v>96</v>
      </c>
      <c r="E375" s="13" t="n">
        <v>4</v>
      </c>
      <c r="F375" s="15" t="str">
        <f aca="false">Jugadores!$B$11</f>
        <v>Jugador 7</v>
      </c>
      <c r="G375" s="16"/>
      <c r="H375" s="16"/>
      <c r="I375" s="16"/>
      <c r="J375" s="17" t="str">
        <f aca="false">IF(COUNT(G375:I375)=0,"",G375*55+H375*50+I375*50)</f>
        <v/>
      </c>
      <c r="K375" s="16"/>
      <c r="L375" s="16"/>
      <c r="M375" s="16"/>
      <c r="N375" s="17" t="str">
        <f aca="false">IF(COUNT(K375:M375)=0,"",MAX(K375:M375))</f>
        <v/>
      </c>
      <c r="O375" s="18" t="str">
        <f aca="false">IF(N375="","",IF(N375&gt;=7,"Sin pliometría ni velocidad. Solo isométricos, movilidad y tren superior. Valoración médica",IF(N375&gt;=4,"Sin pliometría el lunes. Sentadilla española 5x45 s","Sesión normal")))</f>
        <v/>
      </c>
      <c r="P375" s="16"/>
      <c r="Q375" s="16"/>
    </row>
    <row r="376" customFormat="false" ht="15" hidden="false" customHeight="false" outlineLevel="0" collapsed="false">
      <c r="A376" s="13" t="n">
        <v>27</v>
      </c>
      <c r="B376" s="14" t="n">
        <v>46454</v>
      </c>
      <c r="C376" s="13" t="s">
        <v>94</v>
      </c>
      <c r="D376" s="13" t="s">
        <v>96</v>
      </c>
      <c r="E376" s="13" t="n">
        <v>4</v>
      </c>
      <c r="F376" s="15" t="str">
        <f aca="false">Jugadores!$B$12</f>
        <v>Jugador 8</v>
      </c>
      <c r="G376" s="16"/>
      <c r="H376" s="16"/>
      <c r="I376" s="16"/>
      <c r="J376" s="17" t="str">
        <f aca="false">IF(COUNT(G376:I376)=0,"",G376*55+H376*50+I376*50)</f>
        <v/>
      </c>
      <c r="K376" s="16"/>
      <c r="L376" s="16"/>
      <c r="M376" s="16"/>
      <c r="N376" s="17" t="str">
        <f aca="false">IF(COUNT(K376:M376)=0,"",MAX(K376:M376))</f>
        <v/>
      </c>
      <c r="O376" s="18" t="str">
        <f aca="false">IF(N376="","",IF(N376&gt;=7,"Sin pliometría ni velocidad. Solo isométricos, movilidad y tren superior. Valoración médica",IF(N376&gt;=4,"Sin pliometría el lunes. Sentadilla española 5x45 s","Sesión normal")))</f>
        <v/>
      </c>
      <c r="P376" s="16"/>
      <c r="Q376" s="16"/>
    </row>
    <row r="377" customFormat="false" ht="15" hidden="false" customHeight="false" outlineLevel="0" collapsed="false">
      <c r="A377" s="13" t="n">
        <v>27</v>
      </c>
      <c r="B377" s="14" t="n">
        <v>46454</v>
      </c>
      <c r="C377" s="13" t="s">
        <v>94</v>
      </c>
      <c r="D377" s="13" t="s">
        <v>96</v>
      </c>
      <c r="E377" s="13" t="n">
        <v>4</v>
      </c>
      <c r="F377" s="15" t="str">
        <f aca="false">Jugadores!$B$13</f>
        <v>Jugador 9</v>
      </c>
      <c r="G377" s="16"/>
      <c r="H377" s="16"/>
      <c r="I377" s="16"/>
      <c r="J377" s="17" t="str">
        <f aca="false">IF(COUNT(G377:I377)=0,"",G377*55+H377*50+I377*50)</f>
        <v/>
      </c>
      <c r="K377" s="16"/>
      <c r="L377" s="16"/>
      <c r="M377" s="16"/>
      <c r="N377" s="17" t="str">
        <f aca="false">IF(COUNT(K377:M377)=0,"",MAX(K377:M377))</f>
        <v/>
      </c>
      <c r="O377" s="18" t="str">
        <f aca="false">IF(N377="","",IF(N377&gt;=7,"Sin pliometría ni velocidad. Solo isométricos, movilidad y tren superior. Valoración médica",IF(N377&gt;=4,"Sin pliometría el lunes. Sentadilla española 5x45 s","Sesión normal")))</f>
        <v/>
      </c>
      <c r="P377" s="16"/>
      <c r="Q377" s="16"/>
    </row>
    <row r="378" customFormat="false" ht="15" hidden="false" customHeight="false" outlineLevel="0" collapsed="false">
      <c r="A378" s="13" t="n">
        <v>27</v>
      </c>
      <c r="B378" s="14" t="n">
        <v>46454</v>
      </c>
      <c r="C378" s="13" t="s">
        <v>94</v>
      </c>
      <c r="D378" s="13" t="s">
        <v>96</v>
      </c>
      <c r="E378" s="13" t="n">
        <v>4</v>
      </c>
      <c r="F378" s="15" t="str">
        <f aca="false">Jugadores!$B$14</f>
        <v>Jugador 10</v>
      </c>
      <c r="G378" s="16"/>
      <c r="H378" s="16"/>
      <c r="I378" s="16"/>
      <c r="J378" s="17" t="str">
        <f aca="false">IF(COUNT(G378:I378)=0,"",G378*55+H378*50+I378*50)</f>
        <v/>
      </c>
      <c r="K378" s="16"/>
      <c r="L378" s="16"/>
      <c r="M378" s="16"/>
      <c r="N378" s="17" t="str">
        <f aca="false">IF(COUNT(K378:M378)=0,"",MAX(K378:M378))</f>
        <v/>
      </c>
      <c r="O378" s="18" t="str">
        <f aca="false">IF(N378="","",IF(N378&gt;=7,"Sin pliometría ni velocidad. Solo isométricos, movilidad y tren superior. Valoración médica",IF(N378&gt;=4,"Sin pliometría el lunes. Sentadilla española 5x45 s","Sesión normal")))</f>
        <v/>
      </c>
      <c r="P378" s="16"/>
      <c r="Q378" s="16"/>
    </row>
    <row r="379" customFormat="false" ht="15" hidden="false" customHeight="false" outlineLevel="0" collapsed="false">
      <c r="A379" s="13" t="n">
        <v>27</v>
      </c>
      <c r="B379" s="14" t="n">
        <v>46454</v>
      </c>
      <c r="C379" s="13" t="s">
        <v>94</v>
      </c>
      <c r="D379" s="13" t="s">
        <v>96</v>
      </c>
      <c r="E379" s="13" t="n">
        <v>4</v>
      </c>
      <c r="F379" s="15" t="str">
        <f aca="false">Jugadores!$B$15</f>
        <v>Jugador 11</v>
      </c>
      <c r="G379" s="16"/>
      <c r="H379" s="16"/>
      <c r="I379" s="16"/>
      <c r="J379" s="17" t="str">
        <f aca="false">IF(COUNT(G379:I379)=0,"",G379*55+H379*50+I379*50)</f>
        <v/>
      </c>
      <c r="K379" s="16"/>
      <c r="L379" s="16"/>
      <c r="M379" s="16"/>
      <c r="N379" s="17" t="str">
        <f aca="false">IF(COUNT(K379:M379)=0,"",MAX(K379:M379))</f>
        <v/>
      </c>
      <c r="O379" s="18" t="str">
        <f aca="false">IF(N379="","",IF(N379&gt;=7,"Sin pliometría ni velocidad. Solo isométricos, movilidad y tren superior. Valoración médica",IF(N379&gt;=4,"Sin pliometría el lunes. Sentadilla española 5x45 s","Sesión normal")))</f>
        <v/>
      </c>
      <c r="P379" s="16"/>
      <c r="Q379" s="16"/>
    </row>
    <row r="380" customFormat="false" ht="15" hidden="false" customHeight="false" outlineLevel="0" collapsed="false">
      <c r="A380" s="13" t="n">
        <v>27</v>
      </c>
      <c r="B380" s="14" t="n">
        <v>46454</v>
      </c>
      <c r="C380" s="13" t="s">
        <v>94</v>
      </c>
      <c r="D380" s="13" t="s">
        <v>96</v>
      </c>
      <c r="E380" s="13" t="n">
        <v>4</v>
      </c>
      <c r="F380" s="15" t="str">
        <f aca="false">Jugadores!$B$16</f>
        <v>Jugador 12</v>
      </c>
      <c r="G380" s="16"/>
      <c r="H380" s="16"/>
      <c r="I380" s="16"/>
      <c r="J380" s="17" t="str">
        <f aca="false">IF(COUNT(G380:I380)=0,"",G380*55+H380*50+I380*50)</f>
        <v/>
      </c>
      <c r="K380" s="16"/>
      <c r="L380" s="16"/>
      <c r="M380" s="16"/>
      <c r="N380" s="17" t="str">
        <f aca="false">IF(COUNT(K380:M380)=0,"",MAX(K380:M380))</f>
        <v/>
      </c>
      <c r="O380" s="18" t="str">
        <f aca="false">IF(N380="","",IF(N380&gt;=7,"Sin pliometría ni velocidad. Solo isométricos, movilidad y tren superior. Valoración médica",IF(N380&gt;=4,"Sin pliometría el lunes. Sentadilla española 5x45 s","Sesión normal")))</f>
        <v/>
      </c>
      <c r="P380" s="16"/>
      <c r="Q380" s="16"/>
    </row>
    <row r="381" customFormat="false" ht="15" hidden="false" customHeight="false" outlineLevel="0" collapsed="false">
      <c r="A381" s="13" t="n">
        <v>27</v>
      </c>
      <c r="B381" s="14" t="n">
        <v>46454</v>
      </c>
      <c r="C381" s="13" t="s">
        <v>94</v>
      </c>
      <c r="D381" s="13" t="s">
        <v>96</v>
      </c>
      <c r="E381" s="13" t="n">
        <v>4</v>
      </c>
      <c r="F381" s="15" t="str">
        <f aca="false">Jugadores!$B$17</f>
        <v>Jugador 13</v>
      </c>
      <c r="G381" s="16"/>
      <c r="H381" s="16"/>
      <c r="I381" s="16"/>
      <c r="J381" s="17" t="str">
        <f aca="false">IF(COUNT(G381:I381)=0,"",G381*55+H381*50+I381*50)</f>
        <v/>
      </c>
      <c r="K381" s="16"/>
      <c r="L381" s="16"/>
      <c r="M381" s="16"/>
      <c r="N381" s="17" t="str">
        <f aca="false">IF(COUNT(K381:M381)=0,"",MAX(K381:M381))</f>
        <v/>
      </c>
      <c r="O381" s="18" t="str">
        <f aca="false">IF(N381="","",IF(N381&gt;=7,"Sin pliometría ni velocidad. Solo isométricos, movilidad y tren superior. Valoración médica",IF(N381&gt;=4,"Sin pliometría el lunes. Sentadilla española 5x45 s","Sesión normal")))</f>
        <v/>
      </c>
      <c r="P381" s="16"/>
      <c r="Q381" s="16"/>
    </row>
    <row r="382" customFormat="false" ht="15" hidden="false" customHeight="false" outlineLevel="0" collapsed="false">
      <c r="A382" s="13" t="n">
        <v>27</v>
      </c>
      <c r="B382" s="14" t="n">
        <v>46454</v>
      </c>
      <c r="C382" s="13" t="s">
        <v>94</v>
      </c>
      <c r="D382" s="13" t="s">
        <v>96</v>
      </c>
      <c r="E382" s="13" t="n">
        <v>4</v>
      </c>
      <c r="F382" s="15" t="str">
        <f aca="false">Jugadores!$B$18</f>
        <v>Jugador 14</v>
      </c>
      <c r="G382" s="16"/>
      <c r="H382" s="16"/>
      <c r="I382" s="16"/>
      <c r="J382" s="17" t="str">
        <f aca="false">IF(COUNT(G382:I382)=0,"",G382*55+H382*50+I382*50)</f>
        <v/>
      </c>
      <c r="K382" s="16"/>
      <c r="L382" s="16"/>
      <c r="M382" s="16"/>
      <c r="N382" s="17" t="str">
        <f aca="false">IF(COUNT(K382:M382)=0,"",MAX(K382:M382))</f>
        <v/>
      </c>
      <c r="O382" s="18" t="str">
        <f aca="false">IF(N382="","",IF(N382&gt;=7,"Sin pliometría ni velocidad. Solo isométricos, movilidad y tren superior. Valoración médica",IF(N382&gt;=4,"Sin pliometría el lunes. Sentadilla española 5x45 s","Sesión normal")))</f>
        <v/>
      </c>
      <c r="P382" s="16"/>
      <c r="Q382" s="16"/>
    </row>
    <row r="383" customFormat="false" ht="15" hidden="false" customHeight="false" outlineLevel="0" collapsed="false">
      <c r="A383" s="13" t="n">
        <v>28</v>
      </c>
      <c r="B383" s="14" t="n">
        <v>46461</v>
      </c>
      <c r="C383" s="13" t="s">
        <v>97</v>
      </c>
      <c r="D383" s="13" t="s">
        <v>75</v>
      </c>
      <c r="E383" s="13" t="n">
        <v>10</v>
      </c>
      <c r="F383" s="15" t="str">
        <f aca="false">Jugadores!$B$5</f>
        <v>Jugador 1</v>
      </c>
      <c r="G383" s="16"/>
      <c r="H383" s="16"/>
      <c r="I383" s="16"/>
      <c r="J383" s="17" t="str">
        <f aca="false">IF(COUNT(G383:I383)=0,"",G383*55+H383*50+I383*50)</f>
        <v/>
      </c>
      <c r="K383" s="16"/>
      <c r="L383" s="16"/>
      <c r="M383" s="16"/>
      <c r="N383" s="17" t="str">
        <f aca="false">IF(COUNT(K383:M383)=0,"",MAX(K383:M383))</f>
        <v/>
      </c>
      <c r="O383" s="18" t="str">
        <f aca="false">IF(N383="","",IF(N383&gt;=7,"Sin pliometría ni velocidad. Solo isométricos, movilidad y tren superior. Valoración médica",IF(N383&gt;=4,"Sin pliometría el lunes. Sentadilla española 5x45 s","Sesión normal")))</f>
        <v/>
      </c>
      <c r="P383" s="16"/>
      <c r="Q383" s="16"/>
    </row>
    <row r="384" customFormat="false" ht="15" hidden="false" customHeight="false" outlineLevel="0" collapsed="false">
      <c r="A384" s="13" t="n">
        <v>28</v>
      </c>
      <c r="B384" s="14" t="n">
        <v>46461</v>
      </c>
      <c r="C384" s="13" t="s">
        <v>97</v>
      </c>
      <c r="D384" s="13" t="s">
        <v>75</v>
      </c>
      <c r="E384" s="13" t="n">
        <v>10</v>
      </c>
      <c r="F384" s="15" t="str">
        <f aca="false">Jugadores!$B$6</f>
        <v>Jugador 2</v>
      </c>
      <c r="G384" s="16"/>
      <c r="H384" s="16"/>
      <c r="I384" s="16"/>
      <c r="J384" s="17" t="str">
        <f aca="false">IF(COUNT(G384:I384)=0,"",G384*55+H384*50+I384*50)</f>
        <v/>
      </c>
      <c r="K384" s="16"/>
      <c r="L384" s="16"/>
      <c r="M384" s="16"/>
      <c r="N384" s="17" t="str">
        <f aca="false">IF(COUNT(K384:M384)=0,"",MAX(K384:M384))</f>
        <v/>
      </c>
      <c r="O384" s="18" t="str">
        <f aca="false">IF(N384="","",IF(N384&gt;=7,"Sin pliometría ni velocidad. Solo isométricos, movilidad y tren superior. Valoración médica",IF(N384&gt;=4,"Sin pliometría el lunes. Sentadilla española 5x45 s","Sesión normal")))</f>
        <v/>
      </c>
      <c r="P384" s="16"/>
      <c r="Q384" s="16"/>
    </row>
    <row r="385" customFormat="false" ht="15" hidden="false" customHeight="false" outlineLevel="0" collapsed="false">
      <c r="A385" s="13" t="n">
        <v>28</v>
      </c>
      <c r="B385" s="14" t="n">
        <v>46461</v>
      </c>
      <c r="C385" s="13" t="s">
        <v>97</v>
      </c>
      <c r="D385" s="13" t="s">
        <v>75</v>
      </c>
      <c r="E385" s="13" t="n">
        <v>10</v>
      </c>
      <c r="F385" s="15" t="str">
        <f aca="false">Jugadores!$B$7</f>
        <v>Jugador 3</v>
      </c>
      <c r="G385" s="16"/>
      <c r="H385" s="16"/>
      <c r="I385" s="16"/>
      <c r="J385" s="17" t="str">
        <f aca="false">IF(COUNT(G385:I385)=0,"",G385*55+H385*50+I385*50)</f>
        <v/>
      </c>
      <c r="K385" s="16"/>
      <c r="L385" s="16"/>
      <c r="M385" s="16"/>
      <c r="N385" s="17" t="str">
        <f aca="false">IF(COUNT(K385:M385)=0,"",MAX(K385:M385))</f>
        <v/>
      </c>
      <c r="O385" s="18" t="str">
        <f aca="false">IF(N385="","",IF(N385&gt;=7,"Sin pliometría ni velocidad. Solo isométricos, movilidad y tren superior. Valoración médica",IF(N385&gt;=4,"Sin pliometría el lunes. Sentadilla española 5x45 s","Sesión normal")))</f>
        <v/>
      </c>
      <c r="P385" s="16"/>
      <c r="Q385" s="16"/>
    </row>
    <row r="386" customFormat="false" ht="15" hidden="false" customHeight="false" outlineLevel="0" collapsed="false">
      <c r="A386" s="13" t="n">
        <v>28</v>
      </c>
      <c r="B386" s="14" t="n">
        <v>46461</v>
      </c>
      <c r="C386" s="13" t="s">
        <v>97</v>
      </c>
      <c r="D386" s="13" t="s">
        <v>75</v>
      </c>
      <c r="E386" s="13" t="n">
        <v>10</v>
      </c>
      <c r="F386" s="15" t="str">
        <f aca="false">Jugadores!$B$8</f>
        <v>Jugador 4</v>
      </c>
      <c r="G386" s="16"/>
      <c r="H386" s="16"/>
      <c r="I386" s="16"/>
      <c r="J386" s="17" t="str">
        <f aca="false">IF(COUNT(G386:I386)=0,"",G386*55+H386*50+I386*50)</f>
        <v/>
      </c>
      <c r="K386" s="16"/>
      <c r="L386" s="16"/>
      <c r="M386" s="16"/>
      <c r="N386" s="17" t="str">
        <f aca="false">IF(COUNT(K386:M386)=0,"",MAX(K386:M386))</f>
        <v/>
      </c>
      <c r="O386" s="18" t="str">
        <f aca="false">IF(N386="","",IF(N386&gt;=7,"Sin pliometría ni velocidad. Solo isométricos, movilidad y tren superior. Valoración médica",IF(N386&gt;=4,"Sin pliometría el lunes. Sentadilla española 5x45 s","Sesión normal")))</f>
        <v/>
      </c>
      <c r="P386" s="16"/>
      <c r="Q386" s="16"/>
    </row>
    <row r="387" customFormat="false" ht="15" hidden="false" customHeight="false" outlineLevel="0" collapsed="false">
      <c r="A387" s="13" t="n">
        <v>28</v>
      </c>
      <c r="B387" s="14" t="n">
        <v>46461</v>
      </c>
      <c r="C387" s="13" t="s">
        <v>97</v>
      </c>
      <c r="D387" s="13" t="s">
        <v>75</v>
      </c>
      <c r="E387" s="13" t="n">
        <v>10</v>
      </c>
      <c r="F387" s="15" t="str">
        <f aca="false">Jugadores!$B$9</f>
        <v>Jugador 5</v>
      </c>
      <c r="G387" s="16"/>
      <c r="H387" s="16"/>
      <c r="I387" s="16"/>
      <c r="J387" s="17" t="str">
        <f aca="false">IF(COUNT(G387:I387)=0,"",G387*55+H387*50+I387*50)</f>
        <v/>
      </c>
      <c r="K387" s="16"/>
      <c r="L387" s="16"/>
      <c r="M387" s="16"/>
      <c r="N387" s="17" t="str">
        <f aca="false">IF(COUNT(K387:M387)=0,"",MAX(K387:M387))</f>
        <v/>
      </c>
      <c r="O387" s="18" t="str">
        <f aca="false">IF(N387="","",IF(N387&gt;=7,"Sin pliometría ni velocidad. Solo isométricos, movilidad y tren superior. Valoración médica",IF(N387&gt;=4,"Sin pliometría el lunes. Sentadilla española 5x45 s","Sesión normal")))</f>
        <v/>
      </c>
      <c r="P387" s="16"/>
      <c r="Q387" s="16"/>
    </row>
    <row r="388" customFormat="false" ht="15" hidden="false" customHeight="false" outlineLevel="0" collapsed="false">
      <c r="A388" s="13" t="n">
        <v>28</v>
      </c>
      <c r="B388" s="14" t="n">
        <v>46461</v>
      </c>
      <c r="C388" s="13" t="s">
        <v>97</v>
      </c>
      <c r="D388" s="13" t="s">
        <v>75</v>
      </c>
      <c r="E388" s="13" t="n">
        <v>10</v>
      </c>
      <c r="F388" s="15" t="str">
        <f aca="false">Jugadores!$B$10</f>
        <v>Jugador 6</v>
      </c>
      <c r="G388" s="16"/>
      <c r="H388" s="16"/>
      <c r="I388" s="16"/>
      <c r="J388" s="17" t="str">
        <f aca="false">IF(COUNT(G388:I388)=0,"",G388*55+H388*50+I388*50)</f>
        <v/>
      </c>
      <c r="K388" s="16"/>
      <c r="L388" s="16"/>
      <c r="M388" s="16"/>
      <c r="N388" s="17" t="str">
        <f aca="false">IF(COUNT(K388:M388)=0,"",MAX(K388:M388))</f>
        <v/>
      </c>
      <c r="O388" s="18" t="str">
        <f aca="false">IF(N388="","",IF(N388&gt;=7,"Sin pliometría ni velocidad. Solo isométricos, movilidad y tren superior. Valoración médica",IF(N388&gt;=4,"Sin pliometría el lunes. Sentadilla española 5x45 s","Sesión normal")))</f>
        <v/>
      </c>
      <c r="P388" s="16"/>
      <c r="Q388" s="16"/>
    </row>
    <row r="389" customFormat="false" ht="15" hidden="false" customHeight="false" outlineLevel="0" collapsed="false">
      <c r="A389" s="13" t="n">
        <v>28</v>
      </c>
      <c r="B389" s="14" t="n">
        <v>46461</v>
      </c>
      <c r="C389" s="13" t="s">
        <v>97</v>
      </c>
      <c r="D389" s="13" t="s">
        <v>75</v>
      </c>
      <c r="E389" s="13" t="n">
        <v>10</v>
      </c>
      <c r="F389" s="15" t="str">
        <f aca="false">Jugadores!$B$11</f>
        <v>Jugador 7</v>
      </c>
      <c r="G389" s="16"/>
      <c r="H389" s="16"/>
      <c r="I389" s="16"/>
      <c r="J389" s="17" t="str">
        <f aca="false">IF(COUNT(G389:I389)=0,"",G389*55+H389*50+I389*50)</f>
        <v/>
      </c>
      <c r="K389" s="16"/>
      <c r="L389" s="16"/>
      <c r="M389" s="16"/>
      <c r="N389" s="17" t="str">
        <f aca="false">IF(COUNT(K389:M389)=0,"",MAX(K389:M389))</f>
        <v/>
      </c>
      <c r="O389" s="18" t="str">
        <f aca="false">IF(N389="","",IF(N389&gt;=7,"Sin pliometría ni velocidad. Solo isométricos, movilidad y tren superior. Valoración médica",IF(N389&gt;=4,"Sin pliometría el lunes. Sentadilla española 5x45 s","Sesión normal")))</f>
        <v/>
      </c>
      <c r="P389" s="16"/>
      <c r="Q389" s="16"/>
    </row>
    <row r="390" customFormat="false" ht="15" hidden="false" customHeight="false" outlineLevel="0" collapsed="false">
      <c r="A390" s="13" t="n">
        <v>28</v>
      </c>
      <c r="B390" s="14" t="n">
        <v>46461</v>
      </c>
      <c r="C390" s="13" t="s">
        <v>97</v>
      </c>
      <c r="D390" s="13" t="s">
        <v>75</v>
      </c>
      <c r="E390" s="13" t="n">
        <v>10</v>
      </c>
      <c r="F390" s="15" t="str">
        <f aca="false">Jugadores!$B$12</f>
        <v>Jugador 8</v>
      </c>
      <c r="G390" s="16"/>
      <c r="H390" s="16"/>
      <c r="I390" s="16"/>
      <c r="J390" s="17" t="str">
        <f aca="false">IF(COUNT(G390:I390)=0,"",G390*55+H390*50+I390*50)</f>
        <v/>
      </c>
      <c r="K390" s="16"/>
      <c r="L390" s="16"/>
      <c r="M390" s="16"/>
      <c r="N390" s="17" t="str">
        <f aca="false">IF(COUNT(K390:M390)=0,"",MAX(K390:M390))</f>
        <v/>
      </c>
      <c r="O390" s="18" t="str">
        <f aca="false">IF(N390="","",IF(N390&gt;=7,"Sin pliometría ni velocidad. Solo isométricos, movilidad y tren superior. Valoración médica",IF(N390&gt;=4,"Sin pliometría el lunes. Sentadilla española 5x45 s","Sesión normal")))</f>
        <v/>
      </c>
      <c r="P390" s="16"/>
      <c r="Q390" s="16"/>
    </row>
    <row r="391" customFormat="false" ht="15" hidden="false" customHeight="false" outlineLevel="0" collapsed="false">
      <c r="A391" s="13" t="n">
        <v>28</v>
      </c>
      <c r="B391" s="14" t="n">
        <v>46461</v>
      </c>
      <c r="C391" s="13" t="s">
        <v>97</v>
      </c>
      <c r="D391" s="13" t="s">
        <v>75</v>
      </c>
      <c r="E391" s="13" t="n">
        <v>10</v>
      </c>
      <c r="F391" s="15" t="str">
        <f aca="false">Jugadores!$B$13</f>
        <v>Jugador 9</v>
      </c>
      <c r="G391" s="16"/>
      <c r="H391" s="16"/>
      <c r="I391" s="16"/>
      <c r="J391" s="17" t="str">
        <f aca="false">IF(COUNT(G391:I391)=0,"",G391*55+H391*50+I391*50)</f>
        <v/>
      </c>
      <c r="K391" s="16"/>
      <c r="L391" s="16"/>
      <c r="M391" s="16"/>
      <c r="N391" s="17" t="str">
        <f aca="false">IF(COUNT(K391:M391)=0,"",MAX(K391:M391))</f>
        <v/>
      </c>
      <c r="O391" s="18" t="str">
        <f aca="false">IF(N391="","",IF(N391&gt;=7,"Sin pliometría ni velocidad. Solo isométricos, movilidad y tren superior. Valoración médica",IF(N391&gt;=4,"Sin pliometría el lunes. Sentadilla española 5x45 s","Sesión normal")))</f>
        <v/>
      </c>
      <c r="P391" s="16"/>
      <c r="Q391" s="16"/>
    </row>
    <row r="392" customFormat="false" ht="15" hidden="false" customHeight="false" outlineLevel="0" collapsed="false">
      <c r="A392" s="13" t="n">
        <v>28</v>
      </c>
      <c r="B392" s="14" t="n">
        <v>46461</v>
      </c>
      <c r="C392" s="13" t="s">
        <v>97</v>
      </c>
      <c r="D392" s="13" t="s">
        <v>75</v>
      </c>
      <c r="E392" s="13" t="n">
        <v>10</v>
      </c>
      <c r="F392" s="15" t="str">
        <f aca="false">Jugadores!$B$14</f>
        <v>Jugador 10</v>
      </c>
      <c r="G392" s="16"/>
      <c r="H392" s="16"/>
      <c r="I392" s="16"/>
      <c r="J392" s="17" t="str">
        <f aca="false">IF(COUNT(G392:I392)=0,"",G392*55+H392*50+I392*50)</f>
        <v/>
      </c>
      <c r="K392" s="16"/>
      <c r="L392" s="16"/>
      <c r="M392" s="16"/>
      <c r="N392" s="17" t="str">
        <f aca="false">IF(COUNT(K392:M392)=0,"",MAX(K392:M392))</f>
        <v/>
      </c>
      <c r="O392" s="18" t="str">
        <f aca="false">IF(N392="","",IF(N392&gt;=7,"Sin pliometría ni velocidad. Solo isométricos, movilidad y tren superior. Valoración médica",IF(N392&gt;=4,"Sin pliometría el lunes. Sentadilla española 5x45 s","Sesión normal")))</f>
        <v/>
      </c>
      <c r="P392" s="16"/>
      <c r="Q392" s="16"/>
    </row>
    <row r="393" customFormat="false" ht="15" hidden="false" customHeight="false" outlineLevel="0" collapsed="false">
      <c r="A393" s="13" t="n">
        <v>28</v>
      </c>
      <c r="B393" s="14" t="n">
        <v>46461</v>
      </c>
      <c r="C393" s="13" t="s">
        <v>97</v>
      </c>
      <c r="D393" s="13" t="s">
        <v>75</v>
      </c>
      <c r="E393" s="13" t="n">
        <v>10</v>
      </c>
      <c r="F393" s="15" t="str">
        <f aca="false">Jugadores!$B$15</f>
        <v>Jugador 11</v>
      </c>
      <c r="G393" s="16"/>
      <c r="H393" s="16"/>
      <c r="I393" s="16"/>
      <c r="J393" s="17" t="str">
        <f aca="false">IF(COUNT(G393:I393)=0,"",G393*55+H393*50+I393*50)</f>
        <v/>
      </c>
      <c r="K393" s="16"/>
      <c r="L393" s="16"/>
      <c r="M393" s="16"/>
      <c r="N393" s="17" t="str">
        <f aca="false">IF(COUNT(K393:M393)=0,"",MAX(K393:M393))</f>
        <v/>
      </c>
      <c r="O393" s="18" t="str">
        <f aca="false">IF(N393="","",IF(N393&gt;=7,"Sin pliometría ni velocidad. Solo isométricos, movilidad y tren superior. Valoración médica",IF(N393&gt;=4,"Sin pliometría el lunes. Sentadilla española 5x45 s","Sesión normal")))</f>
        <v/>
      </c>
      <c r="P393" s="16"/>
      <c r="Q393" s="16"/>
    </row>
    <row r="394" customFormat="false" ht="15" hidden="false" customHeight="false" outlineLevel="0" collapsed="false">
      <c r="A394" s="13" t="n">
        <v>28</v>
      </c>
      <c r="B394" s="14" t="n">
        <v>46461</v>
      </c>
      <c r="C394" s="13" t="s">
        <v>97</v>
      </c>
      <c r="D394" s="13" t="s">
        <v>75</v>
      </c>
      <c r="E394" s="13" t="n">
        <v>10</v>
      </c>
      <c r="F394" s="15" t="str">
        <f aca="false">Jugadores!$B$16</f>
        <v>Jugador 12</v>
      </c>
      <c r="G394" s="16"/>
      <c r="H394" s="16"/>
      <c r="I394" s="16"/>
      <c r="J394" s="17" t="str">
        <f aca="false">IF(COUNT(G394:I394)=0,"",G394*55+H394*50+I394*50)</f>
        <v/>
      </c>
      <c r="K394" s="16"/>
      <c r="L394" s="16"/>
      <c r="M394" s="16"/>
      <c r="N394" s="17" t="str">
        <f aca="false">IF(COUNT(K394:M394)=0,"",MAX(K394:M394))</f>
        <v/>
      </c>
      <c r="O394" s="18" t="str">
        <f aca="false">IF(N394="","",IF(N394&gt;=7,"Sin pliometría ni velocidad. Solo isométricos, movilidad y tren superior. Valoración médica",IF(N394&gt;=4,"Sin pliometría el lunes. Sentadilla española 5x45 s","Sesión normal")))</f>
        <v/>
      </c>
      <c r="P394" s="16"/>
      <c r="Q394" s="16"/>
    </row>
    <row r="395" customFormat="false" ht="15" hidden="false" customHeight="false" outlineLevel="0" collapsed="false">
      <c r="A395" s="13" t="n">
        <v>28</v>
      </c>
      <c r="B395" s="14" t="n">
        <v>46461</v>
      </c>
      <c r="C395" s="13" t="s">
        <v>97</v>
      </c>
      <c r="D395" s="13" t="s">
        <v>75</v>
      </c>
      <c r="E395" s="13" t="n">
        <v>10</v>
      </c>
      <c r="F395" s="15" t="str">
        <f aca="false">Jugadores!$B$17</f>
        <v>Jugador 13</v>
      </c>
      <c r="G395" s="16"/>
      <c r="H395" s="16"/>
      <c r="I395" s="16"/>
      <c r="J395" s="17" t="str">
        <f aca="false">IF(COUNT(G395:I395)=0,"",G395*55+H395*50+I395*50)</f>
        <v/>
      </c>
      <c r="K395" s="16"/>
      <c r="L395" s="16"/>
      <c r="M395" s="16"/>
      <c r="N395" s="17" t="str">
        <f aca="false">IF(COUNT(K395:M395)=0,"",MAX(K395:M395))</f>
        <v/>
      </c>
      <c r="O395" s="18" t="str">
        <f aca="false">IF(N395="","",IF(N395&gt;=7,"Sin pliometría ni velocidad. Solo isométricos, movilidad y tren superior. Valoración médica",IF(N395&gt;=4,"Sin pliometría el lunes. Sentadilla española 5x45 s","Sesión normal")))</f>
        <v/>
      </c>
      <c r="P395" s="16"/>
      <c r="Q395" s="16"/>
    </row>
    <row r="396" customFormat="false" ht="15" hidden="false" customHeight="false" outlineLevel="0" collapsed="false">
      <c r="A396" s="13" t="n">
        <v>28</v>
      </c>
      <c r="B396" s="14" t="n">
        <v>46461</v>
      </c>
      <c r="C396" s="13" t="s">
        <v>97</v>
      </c>
      <c r="D396" s="13" t="s">
        <v>75</v>
      </c>
      <c r="E396" s="13" t="n">
        <v>10</v>
      </c>
      <c r="F396" s="15" t="str">
        <f aca="false">Jugadores!$B$18</f>
        <v>Jugador 14</v>
      </c>
      <c r="G396" s="16"/>
      <c r="H396" s="16"/>
      <c r="I396" s="16"/>
      <c r="J396" s="17" t="str">
        <f aca="false">IF(COUNT(G396:I396)=0,"",G396*55+H396*50+I396*50)</f>
        <v/>
      </c>
      <c r="K396" s="16"/>
      <c r="L396" s="16"/>
      <c r="M396" s="16"/>
      <c r="N396" s="17" t="str">
        <f aca="false">IF(COUNT(K396:M396)=0,"",MAX(K396:M396))</f>
        <v/>
      </c>
      <c r="O396" s="18" t="str">
        <f aca="false">IF(N396="","",IF(N396&gt;=7,"Sin pliometría ni velocidad. Solo isométricos, movilidad y tren superior. Valoración médica",IF(N396&gt;=4,"Sin pliometría el lunes. Sentadilla española 5x45 s","Sesión normal")))</f>
        <v/>
      </c>
      <c r="P396" s="16"/>
      <c r="Q396" s="16"/>
    </row>
    <row r="397" customFormat="false" ht="15" hidden="false" customHeight="false" outlineLevel="0" collapsed="false">
      <c r="A397" s="13" t="n">
        <v>29</v>
      </c>
      <c r="B397" s="14" t="n">
        <v>46468</v>
      </c>
      <c r="C397" s="13" t="s">
        <v>97</v>
      </c>
      <c r="D397" s="13" t="s">
        <v>98</v>
      </c>
      <c r="E397" s="13" t="n">
        <v>5</v>
      </c>
      <c r="F397" s="15" t="str">
        <f aca="false">Jugadores!$B$5</f>
        <v>Jugador 1</v>
      </c>
      <c r="G397" s="16"/>
      <c r="H397" s="16"/>
      <c r="I397" s="16"/>
      <c r="J397" s="17" t="str">
        <f aca="false">IF(COUNT(G397:I397)=0,"",G397*55+H397*50+I397*50)</f>
        <v/>
      </c>
      <c r="K397" s="16"/>
      <c r="L397" s="16"/>
      <c r="M397" s="16"/>
      <c r="N397" s="17" t="str">
        <f aca="false">IF(COUNT(K397:M397)=0,"",MAX(K397:M397))</f>
        <v/>
      </c>
      <c r="O397" s="18" t="str">
        <f aca="false">IF(N397="","",IF(N397&gt;=7,"Sin pliometría ni velocidad. Solo isométricos, movilidad y tren superior. Valoración médica",IF(N397&gt;=4,"Sin pliometría el lunes. Sentadilla española 5x45 s","Sesión normal")))</f>
        <v/>
      </c>
      <c r="P397" s="16"/>
      <c r="Q397" s="16"/>
    </row>
    <row r="398" customFormat="false" ht="15" hidden="false" customHeight="false" outlineLevel="0" collapsed="false">
      <c r="A398" s="13" t="n">
        <v>29</v>
      </c>
      <c r="B398" s="14" t="n">
        <v>46468</v>
      </c>
      <c r="C398" s="13" t="s">
        <v>97</v>
      </c>
      <c r="D398" s="13" t="s">
        <v>98</v>
      </c>
      <c r="E398" s="13" t="n">
        <v>5</v>
      </c>
      <c r="F398" s="15" t="str">
        <f aca="false">Jugadores!$B$6</f>
        <v>Jugador 2</v>
      </c>
      <c r="G398" s="16"/>
      <c r="H398" s="16"/>
      <c r="I398" s="16"/>
      <c r="J398" s="17" t="str">
        <f aca="false">IF(COUNT(G398:I398)=0,"",G398*55+H398*50+I398*50)</f>
        <v/>
      </c>
      <c r="K398" s="16"/>
      <c r="L398" s="16"/>
      <c r="M398" s="16"/>
      <c r="N398" s="17" t="str">
        <f aca="false">IF(COUNT(K398:M398)=0,"",MAX(K398:M398))</f>
        <v/>
      </c>
      <c r="O398" s="18" t="str">
        <f aca="false">IF(N398="","",IF(N398&gt;=7,"Sin pliometría ni velocidad. Solo isométricos, movilidad y tren superior. Valoración médica",IF(N398&gt;=4,"Sin pliometría el lunes. Sentadilla española 5x45 s","Sesión normal")))</f>
        <v/>
      </c>
      <c r="P398" s="16"/>
      <c r="Q398" s="16"/>
    </row>
    <row r="399" customFormat="false" ht="15" hidden="false" customHeight="false" outlineLevel="0" collapsed="false">
      <c r="A399" s="13" t="n">
        <v>29</v>
      </c>
      <c r="B399" s="14" t="n">
        <v>46468</v>
      </c>
      <c r="C399" s="13" t="s">
        <v>97</v>
      </c>
      <c r="D399" s="13" t="s">
        <v>98</v>
      </c>
      <c r="E399" s="13" t="n">
        <v>5</v>
      </c>
      <c r="F399" s="15" t="str">
        <f aca="false">Jugadores!$B$7</f>
        <v>Jugador 3</v>
      </c>
      <c r="G399" s="16"/>
      <c r="H399" s="16"/>
      <c r="I399" s="16"/>
      <c r="J399" s="17" t="str">
        <f aca="false">IF(COUNT(G399:I399)=0,"",G399*55+H399*50+I399*50)</f>
        <v/>
      </c>
      <c r="K399" s="16"/>
      <c r="L399" s="16"/>
      <c r="M399" s="16"/>
      <c r="N399" s="17" t="str">
        <f aca="false">IF(COUNT(K399:M399)=0,"",MAX(K399:M399))</f>
        <v/>
      </c>
      <c r="O399" s="18" t="str">
        <f aca="false">IF(N399="","",IF(N399&gt;=7,"Sin pliometría ni velocidad. Solo isométricos, movilidad y tren superior. Valoración médica",IF(N399&gt;=4,"Sin pliometría el lunes. Sentadilla española 5x45 s","Sesión normal")))</f>
        <v/>
      </c>
      <c r="P399" s="16"/>
      <c r="Q399" s="16"/>
    </row>
    <row r="400" customFormat="false" ht="15" hidden="false" customHeight="false" outlineLevel="0" collapsed="false">
      <c r="A400" s="13" t="n">
        <v>29</v>
      </c>
      <c r="B400" s="14" t="n">
        <v>46468</v>
      </c>
      <c r="C400" s="13" t="s">
        <v>97</v>
      </c>
      <c r="D400" s="13" t="s">
        <v>98</v>
      </c>
      <c r="E400" s="13" t="n">
        <v>5</v>
      </c>
      <c r="F400" s="15" t="str">
        <f aca="false">Jugadores!$B$8</f>
        <v>Jugador 4</v>
      </c>
      <c r="G400" s="16"/>
      <c r="H400" s="16"/>
      <c r="I400" s="16"/>
      <c r="J400" s="17" t="str">
        <f aca="false">IF(COUNT(G400:I400)=0,"",G400*55+H400*50+I400*50)</f>
        <v/>
      </c>
      <c r="K400" s="16"/>
      <c r="L400" s="16"/>
      <c r="M400" s="16"/>
      <c r="N400" s="17" t="str">
        <f aca="false">IF(COUNT(K400:M400)=0,"",MAX(K400:M400))</f>
        <v/>
      </c>
      <c r="O400" s="18" t="str">
        <f aca="false">IF(N400="","",IF(N400&gt;=7,"Sin pliometría ni velocidad. Solo isométricos, movilidad y tren superior. Valoración médica",IF(N400&gt;=4,"Sin pliometría el lunes. Sentadilla española 5x45 s","Sesión normal")))</f>
        <v/>
      </c>
      <c r="P400" s="16"/>
      <c r="Q400" s="16"/>
    </row>
    <row r="401" customFormat="false" ht="15" hidden="false" customHeight="false" outlineLevel="0" collapsed="false">
      <c r="A401" s="13" t="n">
        <v>29</v>
      </c>
      <c r="B401" s="14" t="n">
        <v>46468</v>
      </c>
      <c r="C401" s="13" t="s">
        <v>97</v>
      </c>
      <c r="D401" s="13" t="s">
        <v>98</v>
      </c>
      <c r="E401" s="13" t="n">
        <v>5</v>
      </c>
      <c r="F401" s="15" t="str">
        <f aca="false">Jugadores!$B$9</f>
        <v>Jugador 5</v>
      </c>
      <c r="G401" s="16"/>
      <c r="H401" s="16"/>
      <c r="I401" s="16"/>
      <c r="J401" s="17" t="str">
        <f aca="false">IF(COUNT(G401:I401)=0,"",G401*55+H401*50+I401*50)</f>
        <v/>
      </c>
      <c r="K401" s="16"/>
      <c r="L401" s="16"/>
      <c r="M401" s="16"/>
      <c r="N401" s="17" t="str">
        <f aca="false">IF(COUNT(K401:M401)=0,"",MAX(K401:M401))</f>
        <v/>
      </c>
      <c r="O401" s="18" t="str">
        <f aca="false">IF(N401="","",IF(N401&gt;=7,"Sin pliometría ni velocidad. Solo isométricos, movilidad y tren superior. Valoración médica",IF(N401&gt;=4,"Sin pliometría el lunes. Sentadilla española 5x45 s","Sesión normal")))</f>
        <v/>
      </c>
      <c r="P401" s="16"/>
      <c r="Q401" s="16"/>
    </row>
    <row r="402" customFormat="false" ht="15" hidden="false" customHeight="false" outlineLevel="0" collapsed="false">
      <c r="A402" s="13" t="n">
        <v>29</v>
      </c>
      <c r="B402" s="14" t="n">
        <v>46468</v>
      </c>
      <c r="C402" s="13" t="s">
        <v>97</v>
      </c>
      <c r="D402" s="13" t="s">
        <v>98</v>
      </c>
      <c r="E402" s="13" t="n">
        <v>5</v>
      </c>
      <c r="F402" s="15" t="str">
        <f aca="false">Jugadores!$B$10</f>
        <v>Jugador 6</v>
      </c>
      <c r="G402" s="16"/>
      <c r="H402" s="16"/>
      <c r="I402" s="16"/>
      <c r="J402" s="17" t="str">
        <f aca="false">IF(COUNT(G402:I402)=0,"",G402*55+H402*50+I402*50)</f>
        <v/>
      </c>
      <c r="K402" s="16"/>
      <c r="L402" s="16"/>
      <c r="M402" s="16"/>
      <c r="N402" s="17" t="str">
        <f aca="false">IF(COUNT(K402:M402)=0,"",MAX(K402:M402))</f>
        <v/>
      </c>
      <c r="O402" s="18" t="str">
        <f aca="false">IF(N402="","",IF(N402&gt;=7,"Sin pliometría ni velocidad. Solo isométricos, movilidad y tren superior. Valoración médica",IF(N402&gt;=4,"Sin pliometría el lunes. Sentadilla española 5x45 s","Sesión normal")))</f>
        <v/>
      </c>
      <c r="P402" s="16"/>
      <c r="Q402" s="16"/>
    </row>
    <row r="403" customFormat="false" ht="15" hidden="false" customHeight="false" outlineLevel="0" collapsed="false">
      <c r="A403" s="13" t="n">
        <v>29</v>
      </c>
      <c r="B403" s="14" t="n">
        <v>46468</v>
      </c>
      <c r="C403" s="13" t="s">
        <v>97</v>
      </c>
      <c r="D403" s="13" t="s">
        <v>98</v>
      </c>
      <c r="E403" s="13" t="n">
        <v>5</v>
      </c>
      <c r="F403" s="15" t="str">
        <f aca="false">Jugadores!$B$11</f>
        <v>Jugador 7</v>
      </c>
      <c r="G403" s="16"/>
      <c r="H403" s="16"/>
      <c r="I403" s="16"/>
      <c r="J403" s="17" t="str">
        <f aca="false">IF(COUNT(G403:I403)=0,"",G403*55+H403*50+I403*50)</f>
        <v/>
      </c>
      <c r="K403" s="16"/>
      <c r="L403" s="16"/>
      <c r="M403" s="16"/>
      <c r="N403" s="17" t="str">
        <f aca="false">IF(COUNT(K403:M403)=0,"",MAX(K403:M403))</f>
        <v/>
      </c>
      <c r="O403" s="18" t="str">
        <f aca="false">IF(N403="","",IF(N403&gt;=7,"Sin pliometría ni velocidad. Solo isométricos, movilidad y tren superior. Valoración médica",IF(N403&gt;=4,"Sin pliometría el lunes. Sentadilla española 5x45 s","Sesión normal")))</f>
        <v/>
      </c>
      <c r="P403" s="16"/>
      <c r="Q403" s="16"/>
    </row>
    <row r="404" customFormat="false" ht="15" hidden="false" customHeight="false" outlineLevel="0" collapsed="false">
      <c r="A404" s="13" t="n">
        <v>29</v>
      </c>
      <c r="B404" s="14" t="n">
        <v>46468</v>
      </c>
      <c r="C404" s="13" t="s">
        <v>97</v>
      </c>
      <c r="D404" s="13" t="s">
        <v>98</v>
      </c>
      <c r="E404" s="13" t="n">
        <v>5</v>
      </c>
      <c r="F404" s="15" t="str">
        <f aca="false">Jugadores!$B$12</f>
        <v>Jugador 8</v>
      </c>
      <c r="G404" s="16"/>
      <c r="H404" s="16"/>
      <c r="I404" s="16"/>
      <c r="J404" s="17" t="str">
        <f aca="false">IF(COUNT(G404:I404)=0,"",G404*55+H404*50+I404*50)</f>
        <v/>
      </c>
      <c r="K404" s="16"/>
      <c r="L404" s="16"/>
      <c r="M404" s="16"/>
      <c r="N404" s="17" t="str">
        <f aca="false">IF(COUNT(K404:M404)=0,"",MAX(K404:M404))</f>
        <v/>
      </c>
      <c r="O404" s="18" t="str">
        <f aca="false">IF(N404="","",IF(N404&gt;=7,"Sin pliometría ni velocidad. Solo isométricos, movilidad y tren superior. Valoración médica",IF(N404&gt;=4,"Sin pliometría el lunes. Sentadilla española 5x45 s","Sesión normal")))</f>
        <v/>
      </c>
      <c r="P404" s="16"/>
      <c r="Q404" s="16"/>
    </row>
    <row r="405" customFormat="false" ht="15" hidden="false" customHeight="false" outlineLevel="0" collapsed="false">
      <c r="A405" s="13" t="n">
        <v>29</v>
      </c>
      <c r="B405" s="14" t="n">
        <v>46468</v>
      </c>
      <c r="C405" s="13" t="s">
        <v>97</v>
      </c>
      <c r="D405" s="13" t="s">
        <v>98</v>
      </c>
      <c r="E405" s="13" t="n">
        <v>5</v>
      </c>
      <c r="F405" s="15" t="str">
        <f aca="false">Jugadores!$B$13</f>
        <v>Jugador 9</v>
      </c>
      <c r="G405" s="16"/>
      <c r="H405" s="16"/>
      <c r="I405" s="16"/>
      <c r="J405" s="17" t="str">
        <f aca="false">IF(COUNT(G405:I405)=0,"",G405*55+H405*50+I405*50)</f>
        <v/>
      </c>
      <c r="K405" s="16"/>
      <c r="L405" s="16"/>
      <c r="M405" s="16"/>
      <c r="N405" s="17" t="str">
        <f aca="false">IF(COUNT(K405:M405)=0,"",MAX(K405:M405))</f>
        <v/>
      </c>
      <c r="O405" s="18" t="str">
        <f aca="false">IF(N405="","",IF(N405&gt;=7,"Sin pliometría ni velocidad. Solo isométricos, movilidad y tren superior. Valoración médica",IF(N405&gt;=4,"Sin pliometría el lunes. Sentadilla española 5x45 s","Sesión normal")))</f>
        <v/>
      </c>
      <c r="P405" s="16"/>
      <c r="Q405" s="16"/>
    </row>
    <row r="406" customFormat="false" ht="15" hidden="false" customHeight="false" outlineLevel="0" collapsed="false">
      <c r="A406" s="13" t="n">
        <v>29</v>
      </c>
      <c r="B406" s="14" t="n">
        <v>46468</v>
      </c>
      <c r="C406" s="13" t="s">
        <v>97</v>
      </c>
      <c r="D406" s="13" t="s">
        <v>98</v>
      </c>
      <c r="E406" s="13" t="n">
        <v>5</v>
      </c>
      <c r="F406" s="15" t="str">
        <f aca="false">Jugadores!$B$14</f>
        <v>Jugador 10</v>
      </c>
      <c r="G406" s="16"/>
      <c r="H406" s="16"/>
      <c r="I406" s="16"/>
      <c r="J406" s="17" t="str">
        <f aca="false">IF(COUNT(G406:I406)=0,"",G406*55+H406*50+I406*50)</f>
        <v/>
      </c>
      <c r="K406" s="16"/>
      <c r="L406" s="16"/>
      <c r="M406" s="16"/>
      <c r="N406" s="17" t="str">
        <f aca="false">IF(COUNT(K406:M406)=0,"",MAX(K406:M406))</f>
        <v/>
      </c>
      <c r="O406" s="18" t="str">
        <f aca="false">IF(N406="","",IF(N406&gt;=7,"Sin pliometría ni velocidad. Solo isométricos, movilidad y tren superior. Valoración médica",IF(N406&gt;=4,"Sin pliometría el lunes. Sentadilla española 5x45 s","Sesión normal")))</f>
        <v/>
      </c>
      <c r="P406" s="16"/>
      <c r="Q406" s="16"/>
    </row>
    <row r="407" customFormat="false" ht="15" hidden="false" customHeight="false" outlineLevel="0" collapsed="false">
      <c r="A407" s="13" t="n">
        <v>29</v>
      </c>
      <c r="B407" s="14" t="n">
        <v>46468</v>
      </c>
      <c r="C407" s="13" t="s">
        <v>97</v>
      </c>
      <c r="D407" s="13" t="s">
        <v>98</v>
      </c>
      <c r="E407" s="13" t="n">
        <v>5</v>
      </c>
      <c r="F407" s="15" t="str">
        <f aca="false">Jugadores!$B$15</f>
        <v>Jugador 11</v>
      </c>
      <c r="G407" s="16"/>
      <c r="H407" s="16"/>
      <c r="I407" s="16"/>
      <c r="J407" s="17" t="str">
        <f aca="false">IF(COUNT(G407:I407)=0,"",G407*55+H407*50+I407*50)</f>
        <v/>
      </c>
      <c r="K407" s="16"/>
      <c r="L407" s="16"/>
      <c r="M407" s="16"/>
      <c r="N407" s="17" t="str">
        <f aca="false">IF(COUNT(K407:M407)=0,"",MAX(K407:M407))</f>
        <v/>
      </c>
      <c r="O407" s="18" t="str">
        <f aca="false">IF(N407="","",IF(N407&gt;=7,"Sin pliometría ni velocidad. Solo isométricos, movilidad y tren superior. Valoración médica",IF(N407&gt;=4,"Sin pliometría el lunes. Sentadilla española 5x45 s","Sesión normal")))</f>
        <v/>
      </c>
      <c r="P407" s="16"/>
      <c r="Q407" s="16"/>
    </row>
    <row r="408" customFormat="false" ht="15" hidden="false" customHeight="false" outlineLevel="0" collapsed="false">
      <c r="A408" s="13" t="n">
        <v>29</v>
      </c>
      <c r="B408" s="14" t="n">
        <v>46468</v>
      </c>
      <c r="C408" s="13" t="s">
        <v>97</v>
      </c>
      <c r="D408" s="13" t="s">
        <v>98</v>
      </c>
      <c r="E408" s="13" t="n">
        <v>5</v>
      </c>
      <c r="F408" s="15" t="str">
        <f aca="false">Jugadores!$B$16</f>
        <v>Jugador 12</v>
      </c>
      <c r="G408" s="16"/>
      <c r="H408" s="16"/>
      <c r="I408" s="16"/>
      <c r="J408" s="17" t="str">
        <f aca="false">IF(COUNT(G408:I408)=0,"",G408*55+H408*50+I408*50)</f>
        <v/>
      </c>
      <c r="K408" s="16"/>
      <c r="L408" s="16"/>
      <c r="M408" s="16"/>
      <c r="N408" s="17" t="str">
        <f aca="false">IF(COUNT(K408:M408)=0,"",MAX(K408:M408))</f>
        <v/>
      </c>
      <c r="O408" s="18" t="str">
        <f aca="false">IF(N408="","",IF(N408&gt;=7,"Sin pliometría ni velocidad. Solo isométricos, movilidad y tren superior. Valoración médica",IF(N408&gt;=4,"Sin pliometría el lunes. Sentadilla española 5x45 s","Sesión normal")))</f>
        <v/>
      </c>
      <c r="P408" s="16"/>
      <c r="Q408" s="16"/>
    </row>
    <row r="409" customFormat="false" ht="15" hidden="false" customHeight="false" outlineLevel="0" collapsed="false">
      <c r="A409" s="13" t="n">
        <v>29</v>
      </c>
      <c r="B409" s="14" t="n">
        <v>46468</v>
      </c>
      <c r="C409" s="13" t="s">
        <v>97</v>
      </c>
      <c r="D409" s="13" t="s">
        <v>98</v>
      </c>
      <c r="E409" s="13" t="n">
        <v>5</v>
      </c>
      <c r="F409" s="15" t="str">
        <f aca="false">Jugadores!$B$17</f>
        <v>Jugador 13</v>
      </c>
      <c r="G409" s="16"/>
      <c r="H409" s="16"/>
      <c r="I409" s="16"/>
      <c r="J409" s="17" t="str">
        <f aca="false">IF(COUNT(G409:I409)=0,"",G409*55+H409*50+I409*50)</f>
        <v/>
      </c>
      <c r="K409" s="16"/>
      <c r="L409" s="16"/>
      <c r="M409" s="16"/>
      <c r="N409" s="17" t="str">
        <f aca="false">IF(COUNT(K409:M409)=0,"",MAX(K409:M409))</f>
        <v/>
      </c>
      <c r="O409" s="18" t="str">
        <f aca="false">IF(N409="","",IF(N409&gt;=7,"Sin pliometría ni velocidad. Solo isométricos, movilidad y tren superior. Valoración médica",IF(N409&gt;=4,"Sin pliometría el lunes. Sentadilla española 5x45 s","Sesión normal")))</f>
        <v/>
      </c>
      <c r="P409" s="16"/>
      <c r="Q409" s="16"/>
    </row>
    <row r="410" customFormat="false" ht="15" hidden="false" customHeight="false" outlineLevel="0" collapsed="false">
      <c r="A410" s="13" t="n">
        <v>29</v>
      </c>
      <c r="B410" s="14" t="n">
        <v>46468</v>
      </c>
      <c r="C410" s="13" t="s">
        <v>97</v>
      </c>
      <c r="D410" s="13" t="s">
        <v>98</v>
      </c>
      <c r="E410" s="13" t="n">
        <v>5</v>
      </c>
      <c r="F410" s="15" t="str">
        <f aca="false">Jugadores!$B$18</f>
        <v>Jugador 14</v>
      </c>
      <c r="G410" s="16"/>
      <c r="H410" s="16"/>
      <c r="I410" s="16"/>
      <c r="J410" s="17" t="str">
        <f aca="false">IF(COUNT(G410:I410)=0,"",G410*55+H410*50+I410*50)</f>
        <v/>
      </c>
      <c r="K410" s="16"/>
      <c r="L410" s="16"/>
      <c r="M410" s="16"/>
      <c r="N410" s="17" t="str">
        <f aca="false">IF(COUNT(K410:M410)=0,"",MAX(K410:M410))</f>
        <v/>
      </c>
      <c r="O410" s="18" t="str">
        <f aca="false">IF(N410="","",IF(N410&gt;=7,"Sin pliometría ni velocidad. Solo isométricos, movilidad y tren superior. Valoración médica",IF(N410&gt;=4,"Sin pliometría el lunes. Sentadilla española 5x45 s","Sesión normal")))</f>
        <v/>
      </c>
      <c r="P410" s="16"/>
      <c r="Q410" s="16"/>
    </row>
    <row r="411" customFormat="false" ht="15" hidden="false" customHeight="false" outlineLevel="0" collapsed="false">
      <c r="A411" s="13" t="n">
        <v>30</v>
      </c>
      <c r="B411" s="14" t="n">
        <v>46475</v>
      </c>
      <c r="C411" s="13" t="s">
        <v>97</v>
      </c>
      <c r="D411" s="13" t="s">
        <v>99</v>
      </c>
      <c r="E411" s="13" t="n">
        <v>7</v>
      </c>
      <c r="F411" s="15" t="str">
        <f aca="false">Jugadores!$B$5</f>
        <v>Jugador 1</v>
      </c>
      <c r="G411" s="16"/>
      <c r="H411" s="16"/>
      <c r="I411" s="16"/>
      <c r="J411" s="17" t="str">
        <f aca="false">IF(COUNT(G411:I411)=0,"",G411*55+H411*50+I411*50)</f>
        <v/>
      </c>
      <c r="K411" s="16"/>
      <c r="L411" s="16"/>
      <c r="M411" s="16"/>
      <c r="N411" s="17" t="str">
        <f aca="false">IF(COUNT(K411:M411)=0,"",MAX(K411:M411))</f>
        <v/>
      </c>
      <c r="O411" s="18" t="str">
        <f aca="false">IF(N411="","",IF(N411&gt;=7,"Sin pliometría ni velocidad. Solo isométricos, movilidad y tren superior. Valoración médica",IF(N411&gt;=4,"Sin pliometría el lunes. Sentadilla española 5x45 s","Sesión normal")))</f>
        <v/>
      </c>
      <c r="P411" s="16"/>
      <c r="Q411" s="16"/>
    </row>
    <row r="412" customFormat="false" ht="15" hidden="false" customHeight="false" outlineLevel="0" collapsed="false">
      <c r="A412" s="13" t="n">
        <v>30</v>
      </c>
      <c r="B412" s="14" t="n">
        <v>46475</v>
      </c>
      <c r="C412" s="13" t="s">
        <v>97</v>
      </c>
      <c r="D412" s="13" t="s">
        <v>99</v>
      </c>
      <c r="E412" s="13" t="n">
        <v>7</v>
      </c>
      <c r="F412" s="15" t="str">
        <f aca="false">Jugadores!$B$6</f>
        <v>Jugador 2</v>
      </c>
      <c r="G412" s="16"/>
      <c r="H412" s="16"/>
      <c r="I412" s="16"/>
      <c r="J412" s="17" t="str">
        <f aca="false">IF(COUNT(G412:I412)=0,"",G412*55+H412*50+I412*50)</f>
        <v/>
      </c>
      <c r="K412" s="16"/>
      <c r="L412" s="16"/>
      <c r="M412" s="16"/>
      <c r="N412" s="17" t="str">
        <f aca="false">IF(COUNT(K412:M412)=0,"",MAX(K412:M412))</f>
        <v/>
      </c>
      <c r="O412" s="18" t="str">
        <f aca="false">IF(N412="","",IF(N412&gt;=7,"Sin pliometría ni velocidad. Solo isométricos, movilidad y tren superior. Valoración médica",IF(N412&gt;=4,"Sin pliometría el lunes. Sentadilla española 5x45 s","Sesión normal")))</f>
        <v/>
      </c>
      <c r="P412" s="16"/>
      <c r="Q412" s="16"/>
    </row>
    <row r="413" customFormat="false" ht="15" hidden="false" customHeight="false" outlineLevel="0" collapsed="false">
      <c r="A413" s="13" t="n">
        <v>30</v>
      </c>
      <c r="B413" s="14" t="n">
        <v>46475</v>
      </c>
      <c r="C413" s="13" t="s">
        <v>97</v>
      </c>
      <c r="D413" s="13" t="s">
        <v>99</v>
      </c>
      <c r="E413" s="13" t="n">
        <v>7</v>
      </c>
      <c r="F413" s="15" t="str">
        <f aca="false">Jugadores!$B$7</f>
        <v>Jugador 3</v>
      </c>
      <c r="G413" s="16"/>
      <c r="H413" s="16"/>
      <c r="I413" s="16"/>
      <c r="J413" s="17" t="str">
        <f aca="false">IF(COUNT(G413:I413)=0,"",G413*55+H413*50+I413*50)</f>
        <v/>
      </c>
      <c r="K413" s="16"/>
      <c r="L413" s="16"/>
      <c r="M413" s="16"/>
      <c r="N413" s="17" t="str">
        <f aca="false">IF(COUNT(K413:M413)=0,"",MAX(K413:M413))</f>
        <v/>
      </c>
      <c r="O413" s="18" t="str">
        <f aca="false">IF(N413="","",IF(N413&gt;=7,"Sin pliometría ni velocidad. Solo isométricos, movilidad y tren superior. Valoración médica",IF(N413&gt;=4,"Sin pliometría el lunes. Sentadilla española 5x45 s","Sesión normal")))</f>
        <v/>
      </c>
      <c r="P413" s="16"/>
      <c r="Q413" s="16"/>
    </row>
    <row r="414" customFormat="false" ht="15" hidden="false" customHeight="false" outlineLevel="0" collapsed="false">
      <c r="A414" s="13" t="n">
        <v>30</v>
      </c>
      <c r="B414" s="14" t="n">
        <v>46475</v>
      </c>
      <c r="C414" s="13" t="s">
        <v>97</v>
      </c>
      <c r="D414" s="13" t="s">
        <v>99</v>
      </c>
      <c r="E414" s="13" t="n">
        <v>7</v>
      </c>
      <c r="F414" s="15" t="str">
        <f aca="false">Jugadores!$B$8</f>
        <v>Jugador 4</v>
      </c>
      <c r="G414" s="16"/>
      <c r="H414" s="16"/>
      <c r="I414" s="16"/>
      <c r="J414" s="17" t="str">
        <f aca="false">IF(COUNT(G414:I414)=0,"",G414*55+H414*50+I414*50)</f>
        <v/>
      </c>
      <c r="K414" s="16"/>
      <c r="L414" s="16"/>
      <c r="M414" s="16"/>
      <c r="N414" s="17" t="str">
        <f aca="false">IF(COUNT(K414:M414)=0,"",MAX(K414:M414))</f>
        <v/>
      </c>
      <c r="O414" s="18" t="str">
        <f aca="false">IF(N414="","",IF(N414&gt;=7,"Sin pliometría ni velocidad. Solo isométricos, movilidad y tren superior. Valoración médica",IF(N414&gt;=4,"Sin pliometría el lunes. Sentadilla española 5x45 s","Sesión normal")))</f>
        <v/>
      </c>
      <c r="P414" s="16"/>
      <c r="Q414" s="16"/>
    </row>
    <row r="415" customFormat="false" ht="15" hidden="false" customHeight="false" outlineLevel="0" collapsed="false">
      <c r="A415" s="13" t="n">
        <v>30</v>
      </c>
      <c r="B415" s="14" t="n">
        <v>46475</v>
      </c>
      <c r="C415" s="13" t="s">
        <v>97</v>
      </c>
      <c r="D415" s="13" t="s">
        <v>99</v>
      </c>
      <c r="E415" s="13" t="n">
        <v>7</v>
      </c>
      <c r="F415" s="15" t="str">
        <f aca="false">Jugadores!$B$9</f>
        <v>Jugador 5</v>
      </c>
      <c r="G415" s="16"/>
      <c r="H415" s="16"/>
      <c r="I415" s="16"/>
      <c r="J415" s="17" t="str">
        <f aca="false">IF(COUNT(G415:I415)=0,"",G415*55+H415*50+I415*50)</f>
        <v/>
      </c>
      <c r="K415" s="16"/>
      <c r="L415" s="16"/>
      <c r="M415" s="16"/>
      <c r="N415" s="17" t="str">
        <f aca="false">IF(COUNT(K415:M415)=0,"",MAX(K415:M415))</f>
        <v/>
      </c>
      <c r="O415" s="18" t="str">
        <f aca="false">IF(N415="","",IF(N415&gt;=7,"Sin pliometría ni velocidad. Solo isométricos, movilidad y tren superior. Valoración médica",IF(N415&gt;=4,"Sin pliometría el lunes. Sentadilla española 5x45 s","Sesión normal")))</f>
        <v/>
      </c>
      <c r="P415" s="16"/>
      <c r="Q415" s="16"/>
    </row>
    <row r="416" customFormat="false" ht="15" hidden="false" customHeight="false" outlineLevel="0" collapsed="false">
      <c r="A416" s="13" t="n">
        <v>30</v>
      </c>
      <c r="B416" s="14" t="n">
        <v>46475</v>
      </c>
      <c r="C416" s="13" t="s">
        <v>97</v>
      </c>
      <c r="D416" s="13" t="s">
        <v>99</v>
      </c>
      <c r="E416" s="13" t="n">
        <v>7</v>
      </c>
      <c r="F416" s="15" t="str">
        <f aca="false">Jugadores!$B$10</f>
        <v>Jugador 6</v>
      </c>
      <c r="G416" s="16"/>
      <c r="H416" s="16"/>
      <c r="I416" s="16"/>
      <c r="J416" s="17" t="str">
        <f aca="false">IF(COUNT(G416:I416)=0,"",G416*55+H416*50+I416*50)</f>
        <v/>
      </c>
      <c r="K416" s="16"/>
      <c r="L416" s="16"/>
      <c r="M416" s="16"/>
      <c r="N416" s="17" t="str">
        <f aca="false">IF(COUNT(K416:M416)=0,"",MAX(K416:M416))</f>
        <v/>
      </c>
      <c r="O416" s="18" t="str">
        <f aca="false">IF(N416="","",IF(N416&gt;=7,"Sin pliometría ni velocidad. Solo isométricos, movilidad y tren superior. Valoración médica",IF(N416&gt;=4,"Sin pliometría el lunes. Sentadilla española 5x45 s","Sesión normal")))</f>
        <v/>
      </c>
      <c r="P416" s="16"/>
      <c r="Q416" s="16"/>
    </row>
    <row r="417" customFormat="false" ht="15" hidden="false" customHeight="false" outlineLevel="0" collapsed="false">
      <c r="A417" s="13" t="n">
        <v>30</v>
      </c>
      <c r="B417" s="14" t="n">
        <v>46475</v>
      </c>
      <c r="C417" s="13" t="s">
        <v>97</v>
      </c>
      <c r="D417" s="13" t="s">
        <v>99</v>
      </c>
      <c r="E417" s="13" t="n">
        <v>7</v>
      </c>
      <c r="F417" s="15" t="str">
        <f aca="false">Jugadores!$B$11</f>
        <v>Jugador 7</v>
      </c>
      <c r="G417" s="16"/>
      <c r="H417" s="16"/>
      <c r="I417" s="16"/>
      <c r="J417" s="17" t="str">
        <f aca="false">IF(COUNT(G417:I417)=0,"",G417*55+H417*50+I417*50)</f>
        <v/>
      </c>
      <c r="K417" s="16"/>
      <c r="L417" s="16"/>
      <c r="M417" s="16"/>
      <c r="N417" s="17" t="str">
        <f aca="false">IF(COUNT(K417:M417)=0,"",MAX(K417:M417))</f>
        <v/>
      </c>
      <c r="O417" s="18" t="str">
        <f aca="false">IF(N417="","",IF(N417&gt;=7,"Sin pliometría ni velocidad. Solo isométricos, movilidad y tren superior. Valoración médica",IF(N417&gt;=4,"Sin pliometría el lunes. Sentadilla española 5x45 s","Sesión normal")))</f>
        <v/>
      </c>
      <c r="P417" s="16"/>
      <c r="Q417" s="16"/>
    </row>
    <row r="418" customFormat="false" ht="15" hidden="false" customHeight="false" outlineLevel="0" collapsed="false">
      <c r="A418" s="13" t="n">
        <v>30</v>
      </c>
      <c r="B418" s="14" t="n">
        <v>46475</v>
      </c>
      <c r="C418" s="13" t="s">
        <v>97</v>
      </c>
      <c r="D418" s="13" t="s">
        <v>99</v>
      </c>
      <c r="E418" s="13" t="n">
        <v>7</v>
      </c>
      <c r="F418" s="15" t="str">
        <f aca="false">Jugadores!$B$12</f>
        <v>Jugador 8</v>
      </c>
      <c r="G418" s="16"/>
      <c r="H418" s="16"/>
      <c r="I418" s="16"/>
      <c r="J418" s="17" t="str">
        <f aca="false">IF(COUNT(G418:I418)=0,"",G418*55+H418*50+I418*50)</f>
        <v/>
      </c>
      <c r="K418" s="16"/>
      <c r="L418" s="16"/>
      <c r="M418" s="16"/>
      <c r="N418" s="17" t="str">
        <f aca="false">IF(COUNT(K418:M418)=0,"",MAX(K418:M418))</f>
        <v/>
      </c>
      <c r="O418" s="18" t="str">
        <f aca="false">IF(N418="","",IF(N418&gt;=7,"Sin pliometría ni velocidad. Solo isométricos, movilidad y tren superior. Valoración médica",IF(N418&gt;=4,"Sin pliometría el lunes. Sentadilla española 5x45 s","Sesión normal")))</f>
        <v/>
      </c>
      <c r="P418" s="16"/>
      <c r="Q418" s="16"/>
    </row>
    <row r="419" customFormat="false" ht="15" hidden="false" customHeight="false" outlineLevel="0" collapsed="false">
      <c r="A419" s="13" t="n">
        <v>30</v>
      </c>
      <c r="B419" s="14" t="n">
        <v>46475</v>
      </c>
      <c r="C419" s="13" t="s">
        <v>97</v>
      </c>
      <c r="D419" s="13" t="s">
        <v>99</v>
      </c>
      <c r="E419" s="13" t="n">
        <v>7</v>
      </c>
      <c r="F419" s="15" t="str">
        <f aca="false">Jugadores!$B$13</f>
        <v>Jugador 9</v>
      </c>
      <c r="G419" s="16"/>
      <c r="H419" s="16"/>
      <c r="I419" s="16"/>
      <c r="J419" s="17" t="str">
        <f aca="false">IF(COUNT(G419:I419)=0,"",G419*55+H419*50+I419*50)</f>
        <v/>
      </c>
      <c r="K419" s="16"/>
      <c r="L419" s="16"/>
      <c r="M419" s="16"/>
      <c r="N419" s="17" t="str">
        <f aca="false">IF(COUNT(K419:M419)=0,"",MAX(K419:M419))</f>
        <v/>
      </c>
      <c r="O419" s="18" t="str">
        <f aca="false">IF(N419="","",IF(N419&gt;=7,"Sin pliometría ni velocidad. Solo isométricos, movilidad y tren superior. Valoración médica",IF(N419&gt;=4,"Sin pliometría el lunes. Sentadilla española 5x45 s","Sesión normal")))</f>
        <v/>
      </c>
      <c r="P419" s="16"/>
      <c r="Q419" s="16"/>
    </row>
    <row r="420" customFormat="false" ht="15" hidden="false" customHeight="false" outlineLevel="0" collapsed="false">
      <c r="A420" s="13" t="n">
        <v>30</v>
      </c>
      <c r="B420" s="14" t="n">
        <v>46475</v>
      </c>
      <c r="C420" s="13" t="s">
        <v>97</v>
      </c>
      <c r="D420" s="13" t="s">
        <v>99</v>
      </c>
      <c r="E420" s="13" t="n">
        <v>7</v>
      </c>
      <c r="F420" s="15" t="str">
        <f aca="false">Jugadores!$B$14</f>
        <v>Jugador 10</v>
      </c>
      <c r="G420" s="16"/>
      <c r="H420" s="16"/>
      <c r="I420" s="16"/>
      <c r="J420" s="17" t="str">
        <f aca="false">IF(COUNT(G420:I420)=0,"",G420*55+H420*50+I420*50)</f>
        <v/>
      </c>
      <c r="K420" s="16"/>
      <c r="L420" s="16"/>
      <c r="M420" s="16"/>
      <c r="N420" s="17" t="str">
        <f aca="false">IF(COUNT(K420:M420)=0,"",MAX(K420:M420))</f>
        <v/>
      </c>
      <c r="O420" s="18" t="str">
        <f aca="false">IF(N420="","",IF(N420&gt;=7,"Sin pliometría ni velocidad. Solo isométricos, movilidad y tren superior. Valoración médica",IF(N420&gt;=4,"Sin pliometría el lunes. Sentadilla española 5x45 s","Sesión normal")))</f>
        <v/>
      </c>
      <c r="P420" s="16"/>
      <c r="Q420" s="16"/>
    </row>
    <row r="421" customFormat="false" ht="15" hidden="false" customHeight="false" outlineLevel="0" collapsed="false">
      <c r="A421" s="13" t="n">
        <v>30</v>
      </c>
      <c r="B421" s="14" t="n">
        <v>46475</v>
      </c>
      <c r="C421" s="13" t="s">
        <v>97</v>
      </c>
      <c r="D421" s="13" t="s">
        <v>99</v>
      </c>
      <c r="E421" s="13" t="n">
        <v>7</v>
      </c>
      <c r="F421" s="15" t="str">
        <f aca="false">Jugadores!$B$15</f>
        <v>Jugador 11</v>
      </c>
      <c r="G421" s="16"/>
      <c r="H421" s="16"/>
      <c r="I421" s="16"/>
      <c r="J421" s="17" t="str">
        <f aca="false">IF(COUNT(G421:I421)=0,"",G421*55+H421*50+I421*50)</f>
        <v/>
      </c>
      <c r="K421" s="16"/>
      <c r="L421" s="16"/>
      <c r="M421" s="16"/>
      <c r="N421" s="17" t="str">
        <f aca="false">IF(COUNT(K421:M421)=0,"",MAX(K421:M421))</f>
        <v/>
      </c>
      <c r="O421" s="18" t="str">
        <f aca="false">IF(N421="","",IF(N421&gt;=7,"Sin pliometría ni velocidad. Solo isométricos, movilidad y tren superior. Valoración médica",IF(N421&gt;=4,"Sin pliometría el lunes. Sentadilla española 5x45 s","Sesión normal")))</f>
        <v/>
      </c>
      <c r="P421" s="16"/>
      <c r="Q421" s="16"/>
    </row>
    <row r="422" customFormat="false" ht="15" hidden="false" customHeight="false" outlineLevel="0" collapsed="false">
      <c r="A422" s="13" t="n">
        <v>30</v>
      </c>
      <c r="B422" s="14" t="n">
        <v>46475</v>
      </c>
      <c r="C422" s="13" t="s">
        <v>97</v>
      </c>
      <c r="D422" s="13" t="s">
        <v>99</v>
      </c>
      <c r="E422" s="13" t="n">
        <v>7</v>
      </c>
      <c r="F422" s="15" t="str">
        <f aca="false">Jugadores!$B$16</f>
        <v>Jugador 12</v>
      </c>
      <c r="G422" s="16"/>
      <c r="H422" s="16"/>
      <c r="I422" s="16"/>
      <c r="J422" s="17" t="str">
        <f aca="false">IF(COUNT(G422:I422)=0,"",G422*55+H422*50+I422*50)</f>
        <v/>
      </c>
      <c r="K422" s="16"/>
      <c r="L422" s="16"/>
      <c r="M422" s="16"/>
      <c r="N422" s="17" t="str">
        <f aca="false">IF(COUNT(K422:M422)=0,"",MAX(K422:M422))</f>
        <v/>
      </c>
      <c r="O422" s="18" t="str">
        <f aca="false">IF(N422="","",IF(N422&gt;=7,"Sin pliometría ni velocidad. Solo isométricos, movilidad y tren superior. Valoración médica",IF(N422&gt;=4,"Sin pliometría el lunes. Sentadilla española 5x45 s","Sesión normal")))</f>
        <v/>
      </c>
      <c r="P422" s="16"/>
      <c r="Q422" s="16"/>
    </row>
    <row r="423" customFormat="false" ht="15" hidden="false" customHeight="false" outlineLevel="0" collapsed="false">
      <c r="A423" s="13" t="n">
        <v>30</v>
      </c>
      <c r="B423" s="14" t="n">
        <v>46475</v>
      </c>
      <c r="C423" s="13" t="s">
        <v>97</v>
      </c>
      <c r="D423" s="13" t="s">
        <v>99</v>
      </c>
      <c r="E423" s="13" t="n">
        <v>7</v>
      </c>
      <c r="F423" s="15" t="str">
        <f aca="false">Jugadores!$B$17</f>
        <v>Jugador 13</v>
      </c>
      <c r="G423" s="16"/>
      <c r="H423" s="16"/>
      <c r="I423" s="16"/>
      <c r="J423" s="17" t="str">
        <f aca="false">IF(COUNT(G423:I423)=0,"",G423*55+H423*50+I423*50)</f>
        <v/>
      </c>
      <c r="K423" s="16"/>
      <c r="L423" s="16"/>
      <c r="M423" s="16"/>
      <c r="N423" s="17" t="str">
        <f aca="false">IF(COUNT(K423:M423)=0,"",MAX(K423:M423))</f>
        <v/>
      </c>
      <c r="O423" s="18" t="str">
        <f aca="false">IF(N423="","",IF(N423&gt;=7,"Sin pliometría ni velocidad. Solo isométricos, movilidad y tren superior. Valoración médica",IF(N423&gt;=4,"Sin pliometría el lunes. Sentadilla española 5x45 s","Sesión normal")))</f>
        <v/>
      </c>
      <c r="P423" s="16"/>
      <c r="Q423" s="16"/>
    </row>
    <row r="424" customFormat="false" ht="15" hidden="false" customHeight="false" outlineLevel="0" collapsed="false">
      <c r="A424" s="13" t="n">
        <v>30</v>
      </c>
      <c r="B424" s="14" t="n">
        <v>46475</v>
      </c>
      <c r="C424" s="13" t="s">
        <v>97</v>
      </c>
      <c r="D424" s="13" t="s">
        <v>99</v>
      </c>
      <c r="E424" s="13" t="n">
        <v>7</v>
      </c>
      <c r="F424" s="15" t="str">
        <f aca="false">Jugadores!$B$18</f>
        <v>Jugador 14</v>
      </c>
      <c r="G424" s="16"/>
      <c r="H424" s="16"/>
      <c r="I424" s="16"/>
      <c r="J424" s="17" t="str">
        <f aca="false">IF(COUNT(G424:I424)=0,"",G424*55+H424*50+I424*50)</f>
        <v/>
      </c>
      <c r="K424" s="16"/>
      <c r="L424" s="16"/>
      <c r="M424" s="16"/>
      <c r="N424" s="17" t="str">
        <f aca="false">IF(COUNT(K424:M424)=0,"",MAX(K424:M424))</f>
        <v/>
      </c>
      <c r="O424" s="18" t="str">
        <f aca="false">IF(N424="","",IF(N424&gt;=7,"Sin pliometría ni velocidad. Solo isométricos, movilidad y tren superior. Valoración médica",IF(N424&gt;=4,"Sin pliometría el lunes. Sentadilla española 5x45 s","Sesión normal")))</f>
        <v/>
      </c>
      <c r="P424" s="16"/>
      <c r="Q424" s="16"/>
    </row>
    <row r="425" customFormat="false" ht="15" hidden="false" customHeight="false" outlineLevel="0" collapsed="false">
      <c r="A425" s="13" t="n">
        <v>31</v>
      </c>
      <c r="B425" s="14" t="n">
        <v>46482</v>
      </c>
      <c r="C425" s="13" t="s">
        <v>100</v>
      </c>
      <c r="D425" s="13" t="s">
        <v>101</v>
      </c>
      <c r="E425" s="13" t="n">
        <v>6</v>
      </c>
      <c r="F425" s="15" t="str">
        <f aca="false">Jugadores!$B$5</f>
        <v>Jugador 1</v>
      </c>
      <c r="G425" s="16"/>
      <c r="H425" s="16"/>
      <c r="I425" s="16"/>
      <c r="J425" s="17" t="str">
        <f aca="false">IF(COUNT(G425:I425)=0,"",G425*55+H425*50+I425*50)</f>
        <v/>
      </c>
      <c r="K425" s="16"/>
      <c r="L425" s="16"/>
      <c r="M425" s="16"/>
      <c r="N425" s="17" t="str">
        <f aca="false">IF(COUNT(K425:M425)=0,"",MAX(K425:M425))</f>
        <v/>
      </c>
      <c r="O425" s="18" t="str">
        <f aca="false">IF(N425="","",IF(N425&gt;=7,"Sin pliometría ni velocidad. Solo isométricos, movilidad y tren superior. Valoración médica",IF(N425&gt;=4,"Sin pliometría el lunes. Sentadilla española 5x45 s","Sesión normal")))</f>
        <v/>
      </c>
      <c r="P425" s="16"/>
      <c r="Q425" s="16"/>
    </row>
    <row r="426" customFormat="false" ht="15" hidden="false" customHeight="false" outlineLevel="0" collapsed="false">
      <c r="A426" s="13" t="n">
        <v>31</v>
      </c>
      <c r="B426" s="14" t="n">
        <v>46482</v>
      </c>
      <c r="C426" s="13" t="s">
        <v>100</v>
      </c>
      <c r="D426" s="13" t="s">
        <v>101</v>
      </c>
      <c r="E426" s="13" t="n">
        <v>6</v>
      </c>
      <c r="F426" s="15" t="str">
        <f aca="false">Jugadores!$B$6</f>
        <v>Jugador 2</v>
      </c>
      <c r="G426" s="16"/>
      <c r="H426" s="16"/>
      <c r="I426" s="16"/>
      <c r="J426" s="17" t="str">
        <f aca="false">IF(COUNT(G426:I426)=0,"",G426*55+H426*50+I426*50)</f>
        <v/>
      </c>
      <c r="K426" s="16"/>
      <c r="L426" s="16"/>
      <c r="M426" s="16"/>
      <c r="N426" s="17" t="str">
        <f aca="false">IF(COUNT(K426:M426)=0,"",MAX(K426:M426))</f>
        <v/>
      </c>
      <c r="O426" s="18" t="str">
        <f aca="false">IF(N426="","",IF(N426&gt;=7,"Sin pliometría ni velocidad. Solo isométricos, movilidad y tren superior. Valoración médica",IF(N426&gt;=4,"Sin pliometría el lunes. Sentadilla española 5x45 s","Sesión normal")))</f>
        <v/>
      </c>
      <c r="P426" s="16"/>
      <c r="Q426" s="16"/>
    </row>
    <row r="427" customFormat="false" ht="15" hidden="false" customHeight="false" outlineLevel="0" collapsed="false">
      <c r="A427" s="13" t="n">
        <v>31</v>
      </c>
      <c r="B427" s="14" t="n">
        <v>46482</v>
      </c>
      <c r="C427" s="13" t="s">
        <v>100</v>
      </c>
      <c r="D427" s="13" t="s">
        <v>101</v>
      </c>
      <c r="E427" s="13" t="n">
        <v>6</v>
      </c>
      <c r="F427" s="15" t="str">
        <f aca="false">Jugadores!$B$7</f>
        <v>Jugador 3</v>
      </c>
      <c r="G427" s="16"/>
      <c r="H427" s="16"/>
      <c r="I427" s="16"/>
      <c r="J427" s="17" t="str">
        <f aca="false">IF(COUNT(G427:I427)=0,"",G427*55+H427*50+I427*50)</f>
        <v/>
      </c>
      <c r="K427" s="16"/>
      <c r="L427" s="16"/>
      <c r="M427" s="16"/>
      <c r="N427" s="17" t="str">
        <f aca="false">IF(COUNT(K427:M427)=0,"",MAX(K427:M427))</f>
        <v/>
      </c>
      <c r="O427" s="18" t="str">
        <f aca="false">IF(N427="","",IF(N427&gt;=7,"Sin pliometría ni velocidad. Solo isométricos, movilidad y tren superior. Valoración médica",IF(N427&gt;=4,"Sin pliometría el lunes. Sentadilla española 5x45 s","Sesión normal")))</f>
        <v/>
      </c>
      <c r="P427" s="16"/>
      <c r="Q427" s="16"/>
    </row>
    <row r="428" customFormat="false" ht="15" hidden="false" customHeight="false" outlineLevel="0" collapsed="false">
      <c r="A428" s="13" t="n">
        <v>31</v>
      </c>
      <c r="B428" s="14" t="n">
        <v>46482</v>
      </c>
      <c r="C428" s="13" t="s">
        <v>100</v>
      </c>
      <c r="D428" s="13" t="s">
        <v>101</v>
      </c>
      <c r="E428" s="13" t="n">
        <v>6</v>
      </c>
      <c r="F428" s="15" t="str">
        <f aca="false">Jugadores!$B$8</f>
        <v>Jugador 4</v>
      </c>
      <c r="G428" s="16"/>
      <c r="H428" s="16"/>
      <c r="I428" s="16"/>
      <c r="J428" s="17" t="str">
        <f aca="false">IF(COUNT(G428:I428)=0,"",G428*55+H428*50+I428*50)</f>
        <v/>
      </c>
      <c r="K428" s="16"/>
      <c r="L428" s="16"/>
      <c r="M428" s="16"/>
      <c r="N428" s="17" t="str">
        <f aca="false">IF(COUNT(K428:M428)=0,"",MAX(K428:M428))</f>
        <v/>
      </c>
      <c r="O428" s="18" t="str">
        <f aca="false">IF(N428="","",IF(N428&gt;=7,"Sin pliometría ni velocidad. Solo isométricos, movilidad y tren superior. Valoración médica",IF(N428&gt;=4,"Sin pliometría el lunes. Sentadilla española 5x45 s","Sesión normal")))</f>
        <v/>
      </c>
      <c r="P428" s="16"/>
      <c r="Q428" s="16"/>
    </row>
    <row r="429" customFormat="false" ht="15" hidden="false" customHeight="false" outlineLevel="0" collapsed="false">
      <c r="A429" s="13" t="n">
        <v>31</v>
      </c>
      <c r="B429" s="14" t="n">
        <v>46482</v>
      </c>
      <c r="C429" s="13" t="s">
        <v>100</v>
      </c>
      <c r="D429" s="13" t="s">
        <v>101</v>
      </c>
      <c r="E429" s="13" t="n">
        <v>6</v>
      </c>
      <c r="F429" s="15" t="str">
        <f aca="false">Jugadores!$B$9</f>
        <v>Jugador 5</v>
      </c>
      <c r="G429" s="16"/>
      <c r="H429" s="16"/>
      <c r="I429" s="16"/>
      <c r="J429" s="17" t="str">
        <f aca="false">IF(COUNT(G429:I429)=0,"",G429*55+H429*50+I429*50)</f>
        <v/>
      </c>
      <c r="K429" s="16"/>
      <c r="L429" s="16"/>
      <c r="M429" s="16"/>
      <c r="N429" s="17" t="str">
        <f aca="false">IF(COUNT(K429:M429)=0,"",MAX(K429:M429))</f>
        <v/>
      </c>
      <c r="O429" s="18" t="str">
        <f aca="false">IF(N429="","",IF(N429&gt;=7,"Sin pliometría ni velocidad. Solo isométricos, movilidad y tren superior. Valoración médica",IF(N429&gt;=4,"Sin pliometría el lunes. Sentadilla española 5x45 s","Sesión normal")))</f>
        <v/>
      </c>
      <c r="P429" s="16"/>
      <c r="Q429" s="16"/>
    </row>
    <row r="430" customFormat="false" ht="15" hidden="false" customHeight="false" outlineLevel="0" collapsed="false">
      <c r="A430" s="13" t="n">
        <v>31</v>
      </c>
      <c r="B430" s="14" t="n">
        <v>46482</v>
      </c>
      <c r="C430" s="13" t="s">
        <v>100</v>
      </c>
      <c r="D430" s="13" t="s">
        <v>101</v>
      </c>
      <c r="E430" s="13" t="n">
        <v>6</v>
      </c>
      <c r="F430" s="15" t="str">
        <f aca="false">Jugadores!$B$10</f>
        <v>Jugador 6</v>
      </c>
      <c r="G430" s="16"/>
      <c r="H430" s="16"/>
      <c r="I430" s="16"/>
      <c r="J430" s="17" t="str">
        <f aca="false">IF(COUNT(G430:I430)=0,"",G430*55+H430*50+I430*50)</f>
        <v/>
      </c>
      <c r="K430" s="16"/>
      <c r="L430" s="16"/>
      <c r="M430" s="16"/>
      <c r="N430" s="17" t="str">
        <f aca="false">IF(COUNT(K430:M430)=0,"",MAX(K430:M430))</f>
        <v/>
      </c>
      <c r="O430" s="18" t="str">
        <f aca="false">IF(N430="","",IF(N430&gt;=7,"Sin pliometría ni velocidad. Solo isométricos, movilidad y tren superior. Valoración médica",IF(N430&gt;=4,"Sin pliometría el lunes. Sentadilla española 5x45 s","Sesión normal")))</f>
        <v/>
      </c>
      <c r="P430" s="16"/>
      <c r="Q430" s="16"/>
    </row>
    <row r="431" customFormat="false" ht="15" hidden="false" customHeight="false" outlineLevel="0" collapsed="false">
      <c r="A431" s="13" t="n">
        <v>31</v>
      </c>
      <c r="B431" s="14" t="n">
        <v>46482</v>
      </c>
      <c r="C431" s="13" t="s">
        <v>100</v>
      </c>
      <c r="D431" s="13" t="s">
        <v>101</v>
      </c>
      <c r="E431" s="13" t="n">
        <v>6</v>
      </c>
      <c r="F431" s="15" t="str">
        <f aca="false">Jugadores!$B$11</f>
        <v>Jugador 7</v>
      </c>
      <c r="G431" s="16"/>
      <c r="H431" s="16"/>
      <c r="I431" s="16"/>
      <c r="J431" s="17" t="str">
        <f aca="false">IF(COUNT(G431:I431)=0,"",G431*55+H431*50+I431*50)</f>
        <v/>
      </c>
      <c r="K431" s="16"/>
      <c r="L431" s="16"/>
      <c r="M431" s="16"/>
      <c r="N431" s="17" t="str">
        <f aca="false">IF(COUNT(K431:M431)=0,"",MAX(K431:M431))</f>
        <v/>
      </c>
      <c r="O431" s="18" t="str">
        <f aca="false">IF(N431="","",IF(N431&gt;=7,"Sin pliometría ni velocidad. Solo isométricos, movilidad y tren superior. Valoración médica",IF(N431&gt;=4,"Sin pliometría el lunes. Sentadilla española 5x45 s","Sesión normal")))</f>
        <v/>
      </c>
      <c r="P431" s="16"/>
      <c r="Q431" s="16"/>
    </row>
    <row r="432" customFormat="false" ht="15" hidden="false" customHeight="false" outlineLevel="0" collapsed="false">
      <c r="A432" s="13" t="n">
        <v>31</v>
      </c>
      <c r="B432" s="14" t="n">
        <v>46482</v>
      </c>
      <c r="C432" s="13" t="s">
        <v>100</v>
      </c>
      <c r="D432" s="13" t="s">
        <v>101</v>
      </c>
      <c r="E432" s="13" t="n">
        <v>6</v>
      </c>
      <c r="F432" s="15" t="str">
        <f aca="false">Jugadores!$B$12</f>
        <v>Jugador 8</v>
      </c>
      <c r="G432" s="16"/>
      <c r="H432" s="16"/>
      <c r="I432" s="16"/>
      <c r="J432" s="17" t="str">
        <f aca="false">IF(COUNT(G432:I432)=0,"",G432*55+H432*50+I432*50)</f>
        <v/>
      </c>
      <c r="K432" s="16"/>
      <c r="L432" s="16"/>
      <c r="M432" s="16"/>
      <c r="N432" s="17" t="str">
        <f aca="false">IF(COUNT(K432:M432)=0,"",MAX(K432:M432))</f>
        <v/>
      </c>
      <c r="O432" s="18" t="str">
        <f aca="false">IF(N432="","",IF(N432&gt;=7,"Sin pliometría ni velocidad. Solo isométricos, movilidad y tren superior. Valoración médica",IF(N432&gt;=4,"Sin pliometría el lunes. Sentadilla española 5x45 s","Sesión normal")))</f>
        <v/>
      </c>
      <c r="P432" s="16"/>
      <c r="Q432" s="16"/>
    </row>
    <row r="433" customFormat="false" ht="15" hidden="false" customHeight="false" outlineLevel="0" collapsed="false">
      <c r="A433" s="13" t="n">
        <v>31</v>
      </c>
      <c r="B433" s="14" t="n">
        <v>46482</v>
      </c>
      <c r="C433" s="13" t="s">
        <v>100</v>
      </c>
      <c r="D433" s="13" t="s">
        <v>101</v>
      </c>
      <c r="E433" s="13" t="n">
        <v>6</v>
      </c>
      <c r="F433" s="15" t="str">
        <f aca="false">Jugadores!$B$13</f>
        <v>Jugador 9</v>
      </c>
      <c r="G433" s="16"/>
      <c r="H433" s="16"/>
      <c r="I433" s="16"/>
      <c r="J433" s="17" t="str">
        <f aca="false">IF(COUNT(G433:I433)=0,"",G433*55+H433*50+I433*50)</f>
        <v/>
      </c>
      <c r="K433" s="16"/>
      <c r="L433" s="16"/>
      <c r="M433" s="16"/>
      <c r="N433" s="17" t="str">
        <f aca="false">IF(COUNT(K433:M433)=0,"",MAX(K433:M433))</f>
        <v/>
      </c>
      <c r="O433" s="18" t="str">
        <f aca="false">IF(N433="","",IF(N433&gt;=7,"Sin pliometría ni velocidad. Solo isométricos, movilidad y tren superior. Valoración médica",IF(N433&gt;=4,"Sin pliometría el lunes. Sentadilla española 5x45 s","Sesión normal")))</f>
        <v/>
      </c>
      <c r="P433" s="16"/>
      <c r="Q433" s="16"/>
    </row>
    <row r="434" customFormat="false" ht="15" hidden="false" customHeight="false" outlineLevel="0" collapsed="false">
      <c r="A434" s="13" t="n">
        <v>31</v>
      </c>
      <c r="B434" s="14" t="n">
        <v>46482</v>
      </c>
      <c r="C434" s="13" t="s">
        <v>100</v>
      </c>
      <c r="D434" s="13" t="s">
        <v>101</v>
      </c>
      <c r="E434" s="13" t="n">
        <v>6</v>
      </c>
      <c r="F434" s="15" t="str">
        <f aca="false">Jugadores!$B$14</f>
        <v>Jugador 10</v>
      </c>
      <c r="G434" s="16"/>
      <c r="H434" s="16"/>
      <c r="I434" s="16"/>
      <c r="J434" s="17" t="str">
        <f aca="false">IF(COUNT(G434:I434)=0,"",G434*55+H434*50+I434*50)</f>
        <v/>
      </c>
      <c r="K434" s="16"/>
      <c r="L434" s="16"/>
      <c r="M434" s="16"/>
      <c r="N434" s="17" t="str">
        <f aca="false">IF(COUNT(K434:M434)=0,"",MAX(K434:M434))</f>
        <v/>
      </c>
      <c r="O434" s="18" t="str">
        <f aca="false">IF(N434="","",IF(N434&gt;=7,"Sin pliometría ni velocidad. Solo isométricos, movilidad y tren superior. Valoración médica",IF(N434&gt;=4,"Sin pliometría el lunes. Sentadilla española 5x45 s","Sesión normal")))</f>
        <v/>
      </c>
      <c r="P434" s="16"/>
      <c r="Q434" s="16"/>
    </row>
    <row r="435" customFormat="false" ht="15" hidden="false" customHeight="false" outlineLevel="0" collapsed="false">
      <c r="A435" s="13" t="n">
        <v>31</v>
      </c>
      <c r="B435" s="14" t="n">
        <v>46482</v>
      </c>
      <c r="C435" s="13" t="s">
        <v>100</v>
      </c>
      <c r="D435" s="13" t="s">
        <v>101</v>
      </c>
      <c r="E435" s="13" t="n">
        <v>6</v>
      </c>
      <c r="F435" s="15" t="str">
        <f aca="false">Jugadores!$B$15</f>
        <v>Jugador 11</v>
      </c>
      <c r="G435" s="16"/>
      <c r="H435" s="16"/>
      <c r="I435" s="16"/>
      <c r="J435" s="17" t="str">
        <f aca="false">IF(COUNT(G435:I435)=0,"",G435*55+H435*50+I435*50)</f>
        <v/>
      </c>
      <c r="K435" s="16"/>
      <c r="L435" s="16"/>
      <c r="M435" s="16"/>
      <c r="N435" s="17" t="str">
        <f aca="false">IF(COUNT(K435:M435)=0,"",MAX(K435:M435))</f>
        <v/>
      </c>
      <c r="O435" s="18" t="str">
        <f aca="false">IF(N435="","",IF(N435&gt;=7,"Sin pliometría ni velocidad. Solo isométricos, movilidad y tren superior. Valoración médica",IF(N435&gt;=4,"Sin pliometría el lunes. Sentadilla española 5x45 s","Sesión normal")))</f>
        <v/>
      </c>
      <c r="P435" s="16"/>
      <c r="Q435" s="16"/>
    </row>
    <row r="436" customFormat="false" ht="15" hidden="false" customHeight="false" outlineLevel="0" collapsed="false">
      <c r="A436" s="13" t="n">
        <v>31</v>
      </c>
      <c r="B436" s="14" t="n">
        <v>46482</v>
      </c>
      <c r="C436" s="13" t="s">
        <v>100</v>
      </c>
      <c r="D436" s="13" t="s">
        <v>101</v>
      </c>
      <c r="E436" s="13" t="n">
        <v>6</v>
      </c>
      <c r="F436" s="15" t="str">
        <f aca="false">Jugadores!$B$16</f>
        <v>Jugador 12</v>
      </c>
      <c r="G436" s="16"/>
      <c r="H436" s="16"/>
      <c r="I436" s="16"/>
      <c r="J436" s="17" t="str">
        <f aca="false">IF(COUNT(G436:I436)=0,"",G436*55+H436*50+I436*50)</f>
        <v/>
      </c>
      <c r="K436" s="16"/>
      <c r="L436" s="16"/>
      <c r="M436" s="16"/>
      <c r="N436" s="17" t="str">
        <f aca="false">IF(COUNT(K436:M436)=0,"",MAX(K436:M436))</f>
        <v/>
      </c>
      <c r="O436" s="18" t="str">
        <f aca="false">IF(N436="","",IF(N436&gt;=7,"Sin pliometría ni velocidad. Solo isométricos, movilidad y tren superior. Valoración médica",IF(N436&gt;=4,"Sin pliometría el lunes. Sentadilla española 5x45 s","Sesión normal")))</f>
        <v/>
      </c>
      <c r="P436" s="16"/>
      <c r="Q436" s="16"/>
    </row>
    <row r="437" customFormat="false" ht="15" hidden="false" customHeight="false" outlineLevel="0" collapsed="false">
      <c r="A437" s="13" t="n">
        <v>31</v>
      </c>
      <c r="B437" s="14" t="n">
        <v>46482</v>
      </c>
      <c r="C437" s="13" t="s">
        <v>100</v>
      </c>
      <c r="D437" s="13" t="s">
        <v>101</v>
      </c>
      <c r="E437" s="13" t="n">
        <v>6</v>
      </c>
      <c r="F437" s="15" t="str">
        <f aca="false">Jugadores!$B$17</f>
        <v>Jugador 13</v>
      </c>
      <c r="G437" s="16"/>
      <c r="H437" s="16"/>
      <c r="I437" s="16"/>
      <c r="J437" s="17" t="str">
        <f aca="false">IF(COUNT(G437:I437)=0,"",G437*55+H437*50+I437*50)</f>
        <v/>
      </c>
      <c r="K437" s="16"/>
      <c r="L437" s="16"/>
      <c r="M437" s="16"/>
      <c r="N437" s="17" t="str">
        <f aca="false">IF(COUNT(K437:M437)=0,"",MAX(K437:M437))</f>
        <v/>
      </c>
      <c r="O437" s="18" t="str">
        <f aca="false">IF(N437="","",IF(N437&gt;=7,"Sin pliometría ni velocidad. Solo isométricos, movilidad y tren superior. Valoración médica",IF(N437&gt;=4,"Sin pliometría el lunes. Sentadilla española 5x45 s","Sesión normal")))</f>
        <v/>
      </c>
      <c r="P437" s="16"/>
      <c r="Q437" s="16"/>
    </row>
    <row r="438" customFormat="false" ht="15" hidden="false" customHeight="false" outlineLevel="0" collapsed="false">
      <c r="A438" s="13" t="n">
        <v>31</v>
      </c>
      <c r="B438" s="14" t="n">
        <v>46482</v>
      </c>
      <c r="C438" s="13" t="s">
        <v>100</v>
      </c>
      <c r="D438" s="13" t="s">
        <v>101</v>
      </c>
      <c r="E438" s="13" t="n">
        <v>6</v>
      </c>
      <c r="F438" s="15" t="str">
        <f aca="false">Jugadores!$B$18</f>
        <v>Jugador 14</v>
      </c>
      <c r="G438" s="16"/>
      <c r="H438" s="16"/>
      <c r="I438" s="16"/>
      <c r="J438" s="17" t="str">
        <f aca="false">IF(COUNT(G438:I438)=0,"",G438*55+H438*50+I438*50)</f>
        <v/>
      </c>
      <c r="K438" s="16"/>
      <c r="L438" s="16"/>
      <c r="M438" s="16"/>
      <c r="N438" s="17" t="str">
        <f aca="false">IF(COUNT(K438:M438)=0,"",MAX(K438:M438))</f>
        <v/>
      </c>
      <c r="O438" s="18" t="str">
        <f aca="false">IF(N438="","",IF(N438&gt;=7,"Sin pliometría ni velocidad. Solo isométricos, movilidad y tren superior. Valoración médica",IF(N438&gt;=4,"Sin pliometría el lunes. Sentadilla española 5x45 s","Sesión normal")))</f>
        <v/>
      </c>
      <c r="P438" s="16"/>
      <c r="Q438" s="16"/>
    </row>
    <row r="439" customFormat="false" ht="15" hidden="false" customHeight="false" outlineLevel="0" collapsed="false">
      <c r="A439" s="13" t="n">
        <v>32</v>
      </c>
      <c r="B439" s="14" t="n">
        <v>46489</v>
      </c>
      <c r="C439" s="13" t="s">
        <v>100</v>
      </c>
      <c r="D439" s="13" t="s">
        <v>102</v>
      </c>
      <c r="E439" s="13" t="n">
        <v>5</v>
      </c>
      <c r="F439" s="15" t="str">
        <f aca="false">Jugadores!$B$5</f>
        <v>Jugador 1</v>
      </c>
      <c r="G439" s="16"/>
      <c r="H439" s="16"/>
      <c r="I439" s="16"/>
      <c r="J439" s="17" t="str">
        <f aca="false">IF(COUNT(G439:I439)=0,"",G439*55+H439*50+I439*50)</f>
        <v/>
      </c>
      <c r="K439" s="16"/>
      <c r="L439" s="16"/>
      <c r="M439" s="16"/>
      <c r="N439" s="17" t="str">
        <f aca="false">IF(COUNT(K439:M439)=0,"",MAX(K439:M439))</f>
        <v/>
      </c>
      <c r="O439" s="18" t="str">
        <f aca="false">IF(N439="","",IF(N439&gt;=7,"Sin pliometría ni velocidad. Solo isométricos, movilidad y tren superior. Valoración médica",IF(N439&gt;=4,"Sin pliometría el lunes. Sentadilla española 5x45 s","Sesión normal")))</f>
        <v/>
      </c>
      <c r="P439" s="16"/>
      <c r="Q439" s="16"/>
    </row>
    <row r="440" customFormat="false" ht="15" hidden="false" customHeight="false" outlineLevel="0" collapsed="false">
      <c r="A440" s="13" t="n">
        <v>32</v>
      </c>
      <c r="B440" s="14" t="n">
        <v>46489</v>
      </c>
      <c r="C440" s="13" t="s">
        <v>100</v>
      </c>
      <c r="D440" s="13" t="s">
        <v>102</v>
      </c>
      <c r="E440" s="13" t="n">
        <v>5</v>
      </c>
      <c r="F440" s="15" t="str">
        <f aca="false">Jugadores!$B$6</f>
        <v>Jugador 2</v>
      </c>
      <c r="G440" s="16"/>
      <c r="H440" s="16"/>
      <c r="I440" s="16"/>
      <c r="J440" s="17" t="str">
        <f aca="false">IF(COUNT(G440:I440)=0,"",G440*55+H440*50+I440*50)</f>
        <v/>
      </c>
      <c r="K440" s="16"/>
      <c r="L440" s="16"/>
      <c r="M440" s="16"/>
      <c r="N440" s="17" t="str">
        <f aca="false">IF(COUNT(K440:M440)=0,"",MAX(K440:M440))</f>
        <v/>
      </c>
      <c r="O440" s="18" t="str">
        <f aca="false">IF(N440="","",IF(N440&gt;=7,"Sin pliometría ni velocidad. Solo isométricos, movilidad y tren superior. Valoración médica",IF(N440&gt;=4,"Sin pliometría el lunes. Sentadilla española 5x45 s","Sesión normal")))</f>
        <v/>
      </c>
      <c r="P440" s="16"/>
      <c r="Q440" s="16"/>
    </row>
    <row r="441" customFormat="false" ht="15" hidden="false" customHeight="false" outlineLevel="0" collapsed="false">
      <c r="A441" s="13" t="n">
        <v>32</v>
      </c>
      <c r="B441" s="14" t="n">
        <v>46489</v>
      </c>
      <c r="C441" s="13" t="s">
        <v>100</v>
      </c>
      <c r="D441" s="13" t="s">
        <v>102</v>
      </c>
      <c r="E441" s="13" t="n">
        <v>5</v>
      </c>
      <c r="F441" s="15" t="str">
        <f aca="false">Jugadores!$B$7</f>
        <v>Jugador 3</v>
      </c>
      <c r="G441" s="16"/>
      <c r="H441" s="16"/>
      <c r="I441" s="16"/>
      <c r="J441" s="17" t="str">
        <f aca="false">IF(COUNT(G441:I441)=0,"",G441*55+H441*50+I441*50)</f>
        <v/>
      </c>
      <c r="K441" s="16"/>
      <c r="L441" s="16"/>
      <c r="M441" s="16"/>
      <c r="N441" s="17" t="str">
        <f aca="false">IF(COUNT(K441:M441)=0,"",MAX(K441:M441))</f>
        <v/>
      </c>
      <c r="O441" s="18" t="str">
        <f aca="false">IF(N441="","",IF(N441&gt;=7,"Sin pliometría ni velocidad. Solo isométricos, movilidad y tren superior. Valoración médica",IF(N441&gt;=4,"Sin pliometría el lunes. Sentadilla española 5x45 s","Sesión normal")))</f>
        <v/>
      </c>
      <c r="P441" s="16"/>
      <c r="Q441" s="16"/>
    </row>
    <row r="442" customFormat="false" ht="15" hidden="false" customHeight="false" outlineLevel="0" collapsed="false">
      <c r="A442" s="13" t="n">
        <v>32</v>
      </c>
      <c r="B442" s="14" t="n">
        <v>46489</v>
      </c>
      <c r="C442" s="13" t="s">
        <v>100</v>
      </c>
      <c r="D442" s="13" t="s">
        <v>102</v>
      </c>
      <c r="E442" s="13" t="n">
        <v>5</v>
      </c>
      <c r="F442" s="15" t="str">
        <f aca="false">Jugadores!$B$8</f>
        <v>Jugador 4</v>
      </c>
      <c r="G442" s="16"/>
      <c r="H442" s="16"/>
      <c r="I442" s="16"/>
      <c r="J442" s="17" t="str">
        <f aca="false">IF(COUNT(G442:I442)=0,"",G442*55+H442*50+I442*50)</f>
        <v/>
      </c>
      <c r="K442" s="16"/>
      <c r="L442" s="16"/>
      <c r="M442" s="16"/>
      <c r="N442" s="17" t="str">
        <f aca="false">IF(COUNT(K442:M442)=0,"",MAX(K442:M442))</f>
        <v/>
      </c>
      <c r="O442" s="18" t="str">
        <f aca="false">IF(N442="","",IF(N442&gt;=7,"Sin pliometría ni velocidad. Solo isométricos, movilidad y tren superior. Valoración médica",IF(N442&gt;=4,"Sin pliometría el lunes. Sentadilla española 5x45 s","Sesión normal")))</f>
        <v/>
      </c>
      <c r="P442" s="16"/>
      <c r="Q442" s="16"/>
    </row>
    <row r="443" customFormat="false" ht="15" hidden="false" customHeight="false" outlineLevel="0" collapsed="false">
      <c r="A443" s="13" t="n">
        <v>32</v>
      </c>
      <c r="B443" s="14" t="n">
        <v>46489</v>
      </c>
      <c r="C443" s="13" t="s">
        <v>100</v>
      </c>
      <c r="D443" s="13" t="s">
        <v>102</v>
      </c>
      <c r="E443" s="13" t="n">
        <v>5</v>
      </c>
      <c r="F443" s="15" t="str">
        <f aca="false">Jugadores!$B$9</f>
        <v>Jugador 5</v>
      </c>
      <c r="G443" s="16"/>
      <c r="H443" s="16"/>
      <c r="I443" s="16"/>
      <c r="J443" s="17" t="str">
        <f aca="false">IF(COUNT(G443:I443)=0,"",G443*55+H443*50+I443*50)</f>
        <v/>
      </c>
      <c r="K443" s="16"/>
      <c r="L443" s="16"/>
      <c r="M443" s="16"/>
      <c r="N443" s="17" t="str">
        <f aca="false">IF(COUNT(K443:M443)=0,"",MAX(K443:M443))</f>
        <v/>
      </c>
      <c r="O443" s="18" t="str">
        <f aca="false">IF(N443="","",IF(N443&gt;=7,"Sin pliometría ni velocidad. Solo isométricos, movilidad y tren superior. Valoración médica",IF(N443&gt;=4,"Sin pliometría el lunes. Sentadilla española 5x45 s","Sesión normal")))</f>
        <v/>
      </c>
      <c r="P443" s="16"/>
      <c r="Q443" s="16"/>
    </row>
    <row r="444" customFormat="false" ht="15" hidden="false" customHeight="false" outlineLevel="0" collapsed="false">
      <c r="A444" s="13" t="n">
        <v>32</v>
      </c>
      <c r="B444" s="14" t="n">
        <v>46489</v>
      </c>
      <c r="C444" s="13" t="s">
        <v>100</v>
      </c>
      <c r="D444" s="13" t="s">
        <v>102</v>
      </c>
      <c r="E444" s="13" t="n">
        <v>5</v>
      </c>
      <c r="F444" s="15" t="str">
        <f aca="false">Jugadores!$B$10</f>
        <v>Jugador 6</v>
      </c>
      <c r="G444" s="16"/>
      <c r="H444" s="16"/>
      <c r="I444" s="16"/>
      <c r="J444" s="17" t="str">
        <f aca="false">IF(COUNT(G444:I444)=0,"",G444*55+H444*50+I444*50)</f>
        <v/>
      </c>
      <c r="K444" s="16"/>
      <c r="L444" s="16"/>
      <c r="M444" s="16"/>
      <c r="N444" s="17" t="str">
        <f aca="false">IF(COUNT(K444:M444)=0,"",MAX(K444:M444))</f>
        <v/>
      </c>
      <c r="O444" s="18" t="str">
        <f aca="false">IF(N444="","",IF(N444&gt;=7,"Sin pliometría ni velocidad. Solo isométricos, movilidad y tren superior. Valoración médica",IF(N444&gt;=4,"Sin pliometría el lunes. Sentadilla española 5x45 s","Sesión normal")))</f>
        <v/>
      </c>
      <c r="P444" s="16"/>
      <c r="Q444" s="16"/>
    </row>
    <row r="445" customFormat="false" ht="15" hidden="false" customHeight="false" outlineLevel="0" collapsed="false">
      <c r="A445" s="13" t="n">
        <v>32</v>
      </c>
      <c r="B445" s="14" t="n">
        <v>46489</v>
      </c>
      <c r="C445" s="13" t="s">
        <v>100</v>
      </c>
      <c r="D445" s="13" t="s">
        <v>102</v>
      </c>
      <c r="E445" s="13" t="n">
        <v>5</v>
      </c>
      <c r="F445" s="15" t="str">
        <f aca="false">Jugadores!$B$11</f>
        <v>Jugador 7</v>
      </c>
      <c r="G445" s="16"/>
      <c r="H445" s="16"/>
      <c r="I445" s="16"/>
      <c r="J445" s="17" t="str">
        <f aca="false">IF(COUNT(G445:I445)=0,"",G445*55+H445*50+I445*50)</f>
        <v/>
      </c>
      <c r="K445" s="16"/>
      <c r="L445" s="16"/>
      <c r="M445" s="16"/>
      <c r="N445" s="17" t="str">
        <f aca="false">IF(COUNT(K445:M445)=0,"",MAX(K445:M445))</f>
        <v/>
      </c>
      <c r="O445" s="18" t="str">
        <f aca="false">IF(N445="","",IF(N445&gt;=7,"Sin pliometría ni velocidad. Solo isométricos, movilidad y tren superior. Valoración médica",IF(N445&gt;=4,"Sin pliometría el lunes. Sentadilla española 5x45 s","Sesión normal")))</f>
        <v/>
      </c>
      <c r="P445" s="16"/>
      <c r="Q445" s="16"/>
    </row>
    <row r="446" customFormat="false" ht="15" hidden="false" customHeight="false" outlineLevel="0" collapsed="false">
      <c r="A446" s="13" t="n">
        <v>32</v>
      </c>
      <c r="B446" s="14" t="n">
        <v>46489</v>
      </c>
      <c r="C446" s="13" t="s">
        <v>100</v>
      </c>
      <c r="D446" s="13" t="s">
        <v>102</v>
      </c>
      <c r="E446" s="13" t="n">
        <v>5</v>
      </c>
      <c r="F446" s="15" t="str">
        <f aca="false">Jugadores!$B$12</f>
        <v>Jugador 8</v>
      </c>
      <c r="G446" s="16"/>
      <c r="H446" s="16"/>
      <c r="I446" s="16"/>
      <c r="J446" s="17" t="str">
        <f aca="false">IF(COUNT(G446:I446)=0,"",G446*55+H446*50+I446*50)</f>
        <v/>
      </c>
      <c r="K446" s="16"/>
      <c r="L446" s="16"/>
      <c r="M446" s="16"/>
      <c r="N446" s="17" t="str">
        <f aca="false">IF(COUNT(K446:M446)=0,"",MAX(K446:M446))</f>
        <v/>
      </c>
      <c r="O446" s="18" t="str">
        <f aca="false">IF(N446="","",IF(N446&gt;=7,"Sin pliometría ni velocidad. Solo isométricos, movilidad y tren superior. Valoración médica",IF(N446&gt;=4,"Sin pliometría el lunes. Sentadilla española 5x45 s","Sesión normal")))</f>
        <v/>
      </c>
      <c r="P446" s="16"/>
      <c r="Q446" s="16"/>
    </row>
    <row r="447" customFormat="false" ht="15" hidden="false" customHeight="false" outlineLevel="0" collapsed="false">
      <c r="A447" s="13" t="n">
        <v>32</v>
      </c>
      <c r="B447" s="14" t="n">
        <v>46489</v>
      </c>
      <c r="C447" s="13" t="s">
        <v>100</v>
      </c>
      <c r="D447" s="13" t="s">
        <v>102</v>
      </c>
      <c r="E447" s="13" t="n">
        <v>5</v>
      </c>
      <c r="F447" s="15" t="str">
        <f aca="false">Jugadores!$B$13</f>
        <v>Jugador 9</v>
      </c>
      <c r="G447" s="16"/>
      <c r="H447" s="16"/>
      <c r="I447" s="16"/>
      <c r="J447" s="17" t="str">
        <f aca="false">IF(COUNT(G447:I447)=0,"",G447*55+H447*50+I447*50)</f>
        <v/>
      </c>
      <c r="K447" s="16"/>
      <c r="L447" s="16"/>
      <c r="M447" s="16"/>
      <c r="N447" s="17" t="str">
        <f aca="false">IF(COUNT(K447:M447)=0,"",MAX(K447:M447))</f>
        <v/>
      </c>
      <c r="O447" s="18" t="str">
        <f aca="false">IF(N447="","",IF(N447&gt;=7,"Sin pliometría ni velocidad. Solo isométricos, movilidad y tren superior. Valoración médica",IF(N447&gt;=4,"Sin pliometría el lunes. Sentadilla española 5x45 s","Sesión normal")))</f>
        <v/>
      </c>
      <c r="P447" s="16"/>
      <c r="Q447" s="16"/>
    </row>
    <row r="448" customFormat="false" ht="15" hidden="false" customHeight="false" outlineLevel="0" collapsed="false">
      <c r="A448" s="13" t="n">
        <v>32</v>
      </c>
      <c r="B448" s="14" t="n">
        <v>46489</v>
      </c>
      <c r="C448" s="13" t="s">
        <v>100</v>
      </c>
      <c r="D448" s="13" t="s">
        <v>102</v>
      </c>
      <c r="E448" s="13" t="n">
        <v>5</v>
      </c>
      <c r="F448" s="15" t="str">
        <f aca="false">Jugadores!$B$14</f>
        <v>Jugador 10</v>
      </c>
      <c r="G448" s="16"/>
      <c r="H448" s="16"/>
      <c r="I448" s="16"/>
      <c r="J448" s="17" t="str">
        <f aca="false">IF(COUNT(G448:I448)=0,"",G448*55+H448*50+I448*50)</f>
        <v/>
      </c>
      <c r="K448" s="16"/>
      <c r="L448" s="16"/>
      <c r="M448" s="16"/>
      <c r="N448" s="17" t="str">
        <f aca="false">IF(COUNT(K448:M448)=0,"",MAX(K448:M448))</f>
        <v/>
      </c>
      <c r="O448" s="18" t="str">
        <f aca="false">IF(N448="","",IF(N448&gt;=7,"Sin pliometría ni velocidad. Solo isométricos, movilidad y tren superior. Valoración médica",IF(N448&gt;=4,"Sin pliometría el lunes. Sentadilla española 5x45 s","Sesión normal")))</f>
        <v/>
      </c>
      <c r="P448" s="16"/>
      <c r="Q448" s="16"/>
    </row>
    <row r="449" customFormat="false" ht="15" hidden="false" customHeight="false" outlineLevel="0" collapsed="false">
      <c r="A449" s="13" t="n">
        <v>32</v>
      </c>
      <c r="B449" s="14" t="n">
        <v>46489</v>
      </c>
      <c r="C449" s="13" t="s">
        <v>100</v>
      </c>
      <c r="D449" s="13" t="s">
        <v>102</v>
      </c>
      <c r="E449" s="13" t="n">
        <v>5</v>
      </c>
      <c r="F449" s="15" t="str">
        <f aca="false">Jugadores!$B$15</f>
        <v>Jugador 11</v>
      </c>
      <c r="G449" s="16"/>
      <c r="H449" s="16"/>
      <c r="I449" s="16"/>
      <c r="J449" s="17" t="str">
        <f aca="false">IF(COUNT(G449:I449)=0,"",G449*55+H449*50+I449*50)</f>
        <v/>
      </c>
      <c r="K449" s="16"/>
      <c r="L449" s="16"/>
      <c r="M449" s="16"/>
      <c r="N449" s="17" t="str">
        <f aca="false">IF(COUNT(K449:M449)=0,"",MAX(K449:M449))</f>
        <v/>
      </c>
      <c r="O449" s="18" t="str">
        <f aca="false">IF(N449="","",IF(N449&gt;=7,"Sin pliometría ni velocidad. Solo isométricos, movilidad y tren superior. Valoración médica",IF(N449&gt;=4,"Sin pliometría el lunes. Sentadilla española 5x45 s","Sesión normal")))</f>
        <v/>
      </c>
      <c r="P449" s="16"/>
      <c r="Q449" s="16"/>
    </row>
    <row r="450" customFormat="false" ht="15" hidden="false" customHeight="false" outlineLevel="0" collapsed="false">
      <c r="A450" s="13" t="n">
        <v>32</v>
      </c>
      <c r="B450" s="14" t="n">
        <v>46489</v>
      </c>
      <c r="C450" s="13" t="s">
        <v>100</v>
      </c>
      <c r="D450" s="13" t="s">
        <v>102</v>
      </c>
      <c r="E450" s="13" t="n">
        <v>5</v>
      </c>
      <c r="F450" s="15" t="str">
        <f aca="false">Jugadores!$B$16</f>
        <v>Jugador 12</v>
      </c>
      <c r="G450" s="16"/>
      <c r="H450" s="16"/>
      <c r="I450" s="16"/>
      <c r="J450" s="17" t="str">
        <f aca="false">IF(COUNT(G450:I450)=0,"",G450*55+H450*50+I450*50)</f>
        <v/>
      </c>
      <c r="K450" s="16"/>
      <c r="L450" s="16"/>
      <c r="M450" s="16"/>
      <c r="N450" s="17" t="str">
        <f aca="false">IF(COUNT(K450:M450)=0,"",MAX(K450:M450))</f>
        <v/>
      </c>
      <c r="O450" s="18" t="str">
        <f aca="false">IF(N450="","",IF(N450&gt;=7,"Sin pliometría ni velocidad. Solo isométricos, movilidad y tren superior. Valoración médica",IF(N450&gt;=4,"Sin pliometría el lunes. Sentadilla española 5x45 s","Sesión normal")))</f>
        <v/>
      </c>
      <c r="P450" s="16"/>
      <c r="Q450" s="16"/>
    </row>
    <row r="451" customFormat="false" ht="15" hidden="false" customHeight="false" outlineLevel="0" collapsed="false">
      <c r="A451" s="13" t="n">
        <v>32</v>
      </c>
      <c r="B451" s="14" t="n">
        <v>46489</v>
      </c>
      <c r="C451" s="13" t="s">
        <v>100</v>
      </c>
      <c r="D451" s="13" t="s">
        <v>102</v>
      </c>
      <c r="E451" s="13" t="n">
        <v>5</v>
      </c>
      <c r="F451" s="15" t="str">
        <f aca="false">Jugadores!$B$17</f>
        <v>Jugador 13</v>
      </c>
      <c r="G451" s="16"/>
      <c r="H451" s="16"/>
      <c r="I451" s="16"/>
      <c r="J451" s="17" t="str">
        <f aca="false">IF(COUNT(G451:I451)=0,"",G451*55+H451*50+I451*50)</f>
        <v/>
      </c>
      <c r="K451" s="16"/>
      <c r="L451" s="16"/>
      <c r="M451" s="16"/>
      <c r="N451" s="17" t="str">
        <f aca="false">IF(COUNT(K451:M451)=0,"",MAX(K451:M451))</f>
        <v/>
      </c>
      <c r="O451" s="18" t="str">
        <f aca="false">IF(N451="","",IF(N451&gt;=7,"Sin pliometría ni velocidad. Solo isométricos, movilidad y tren superior. Valoración médica",IF(N451&gt;=4,"Sin pliometría el lunes. Sentadilla española 5x45 s","Sesión normal")))</f>
        <v/>
      </c>
      <c r="P451" s="16"/>
      <c r="Q451" s="16"/>
    </row>
    <row r="452" customFormat="false" ht="15" hidden="false" customHeight="false" outlineLevel="0" collapsed="false">
      <c r="A452" s="13" t="n">
        <v>32</v>
      </c>
      <c r="B452" s="14" t="n">
        <v>46489</v>
      </c>
      <c r="C452" s="13" t="s">
        <v>100</v>
      </c>
      <c r="D452" s="13" t="s">
        <v>102</v>
      </c>
      <c r="E452" s="13" t="n">
        <v>5</v>
      </c>
      <c r="F452" s="15" t="str">
        <f aca="false">Jugadores!$B$18</f>
        <v>Jugador 14</v>
      </c>
      <c r="G452" s="16"/>
      <c r="H452" s="16"/>
      <c r="I452" s="16"/>
      <c r="J452" s="17" t="str">
        <f aca="false">IF(COUNT(G452:I452)=0,"",G452*55+H452*50+I452*50)</f>
        <v/>
      </c>
      <c r="K452" s="16"/>
      <c r="L452" s="16"/>
      <c r="M452" s="16"/>
      <c r="N452" s="17" t="str">
        <f aca="false">IF(COUNT(K452:M452)=0,"",MAX(K452:M452))</f>
        <v/>
      </c>
      <c r="O452" s="18" t="str">
        <f aca="false">IF(N452="","",IF(N452&gt;=7,"Sin pliometría ni velocidad. Solo isométricos, movilidad y tren superior. Valoración médica",IF(N452&gt;=4,"Sin pliometría el lunes. Sentadilla española 5x45 s","Sesión normal")))</f>
        <v/>
      </c>
      <c r="P452" s="16"/>
      <c r="Q452" s="16"/>
    </row>
    <row r="453" customFormat="false" ht="15" hidden="false" customHeight="false" outlineLevel="0" collapsed="false">
      <c r="A453" s="13" t="n">
        <v>33</v>
      </c>
      <c r="B453" s="14" t="n">
        <v>46496</v>
      </c>
      <c r="C453" s="13" t="s">
        <v>100</v>
      </c>
      <c r="D453" s="13" t="s">
        <v>103</v>
      </c>
      <c r="E453" s="13" t="n">
        <v>5</v>
      </c>
      <c r="F453" s="15" t="str">
        <f aca="false">Jugadores!$B$5</f>
        <v>Jugador 1</v>
      </c>
      <c r="G453" s="16"/>
      <c r="H453" s="16"/>
      <c r="I453" s="16"/>
      <c r="J453" s="17" t="str">
        <f aca="false">IF(COUNT(G453:I453)=0,"",G453*55+H453*50+I453*50)</f>
        <v/>
      </c>
      <c r="K453" s="16"/>
      <c r="L453" s="16"/>
      <c r="M453" s="16"/>
      <c r="N453" s="17" t="str">
        <f aca="false">IF(COUNT(K453:M453)=0,"",MAX(K453:M453))</f>
        <v/>
      </c>
      <c r="O453" s="18" t="str">
        <f aca="false">IF(N453="","",IF(N453&gt;=7,"Sin pliometría ni velocidad. Solo isométricos, movilidad y tren superior. Valoración médica",IF(N453&gt;=4,"Sin pliometría el lunes. Sentadilla española 5x45 s","Sesión normal")))</f>
        <v/>
      </c>
      <c r="P453" s="16"/>
      <c r="Q453" s="16"/>
    </row>
    <row r="454" customFormat="false" ht="15" hidden="false" customHeight="false" outlineLevel="0" collapsed="false">
      <c r="A454" s="13" t="n">
        <v>33</v>
      </c>
      <c r="B454" s="14" t="n">
        <v>46496</v>
      </c>
      <c r="C454" s="13" t="s">
        <v>100</v>
      </c>
      <c r="D454" s="13" t="s">
        <v>103</v>
      </c>
      <c r="E454" s="13" t="n">
        <v>5</v>
      </c>
      <c r="F454" s="15" t="str">
        <f aca="false">Jugadores!$B$6</f>
        <v>Jugador 2</v>
      </c>
      <c r="G454" s="16"/>
      <c r="H454" s="16"/>
      <c r="I454" s="16"/>
      <c r="J454" s="17" t="str">
        <f aca="false">IF(COUNT(G454:I454)=0,"",G454*55+H454*50+I454*50)</f>
        <v/>
      </c>
      <c r="K454" s="16"/>
      <c r="L454" s="16"/>
      <c r="M454" s="16"/>
      <c r="N454" s="17" t="str">
        <f aca="false">IF(COUNT(K454:M454)=0,"",MAX(K454:M454))</f>
        <v/>
      </c>
      <c r="O454" s="18" t="str">
        <f aca="false">IF(N454="","",IF(N454&gt;=7,"Sin pliometría ni velocidad. Solo isométricos, movilidad y tren superior. Valoración médica",IF(N454&gt;=4,"Sin pliometría el lunes. Sentadilla española 5x45 s","Sesión normal")))</f>
        <v/>
      </c>
      <c r="P454" s="16"/>
      <c r="Q454" s="16"/>
    </row>
    <row r="455" customFormat="false" ht="15" hidden="false" customHeight="false" outlineLevel="0" collapsed="false">
      <c r="A455" s="13" t="n">
        <v>33</v>
      </c>
      <c r="B455" s="14" t="n">
        <v>46496</v>
      </c>
      <c r="C455" s="13" t="s">
        <v>100</v>
      </c>
      <c r="D455" s="13" t="s">
        <v>103</v>
      </c>
      <c r="E455" s="13" t="n">
        <v>5</v>
      </c>
      <c r="F455" s="15" t="str">
        <f aca="false">Jugadores!$B$7</f>
        <v>Jugador 3</v>
      </c>
      <c r="G455" s="16"/>
      <c r="H455" s="16"/>
      <c r="I455" s="16"/>
      <c r="J455" s="17" t="str">
        <f aca="false">IF(COUNT(G455:I455)=0,"",G455*55+H455*50+I455*50)</f>
        <v/>
      </c>
      <c r="K455" s="16"/>
      <c r="L455" s="16"/>
      <c r="M455" s="16"/>
      <c r="N455" s="17" t="str">
        <f aca="false">IF(COUNT(K455:M455)=0,"",MAX(K455:M455))</f>
        <v/>
      </c>
      <c r="O455" s="18" t="str">
        <f aca="false">IF(N455="","",IF(N455&gt;=7,"Sin pliometría ni velocidad. Solo isométricos, movilidad y tren superior. Valoración médica",IF(N455&gt;=4,"Sin pliometría el lunes. Sentadilla española 5x45 s","Sesión normal")))</f>
        <v/>
      </c>
      <c r="P455" s="16"/>
      <c r="Q455" s="16"/>
    </row>
    <row r="456" customFormat="false" ht="15" hidden="false" customHeight="false" outlineLevel="0" collapsed="false">
      <c r="A456" s="13" t="n">
        <v>33</v>
      </c>
      <c r="B456" s="14" t="n">
        <v>46496</v>
      </c>
      <c r="C456" s="13" t="s">
        <v>100</v>
      </c>
      <c r="D456" s="13" t="s">
        <v>103</v>
      </c>
      <c r="E456" s="13" t="n">
        <v>5</v>
      </c>
      <c r="F456" s="15" t="str">
        <f aca="false">Jugadores!$B$8</f>
        <v>Jugador 4</v>
      </c>
      <c r="G456" s="16"/>
      <c r="H456" s="16"/>
      <c r="I456" s="16"/>
      <c r="J456" s="17" t="str">
        <f aca="false">IF(COUNT(G456:I456)=0,"",G456*55+H456*50+I456*50)</f>
        <v/>
      </c>
      <c r="K456" s="16"/>
      <c r="L456" s="16"/>
      <c r="M456" s="16"/>
      <c r="N456" s="17" t="str">
        <f aca="false">IF(COUNT(K456:M456)=0,"",MAX(K456:M456))</f>
        <v/>
      </c>
      <c r="O456" s="18" t="str">
        <f aca="false">IF(N456="","",IF(N456&gt;=7,"Sin pliometría ni velocidad. Solo isométricos, movilidad y tren superior. Valoración médica",IF(N456&gt;=4,"Sin pliometría el lunes. Sentadilla española 5x45 s","Sesión normal")))</f>
        <v/>
      </c>
      <c r="P456" s="16"/>
      <c r="Q456" s="16"/>
    </row>
    <row r="457" customFormat="false" ht="15" hidden="false" customHeight="false" outlineLevel="0" collapsed="false">
      <c r="A457" s="13" t="n">
        <v>33</v>
      </c>
      <c r="B457" s="14" t="n">
        <v>46496</v>
      </c>
      <c r="C457" s="13" t="s">
        <v>100</v>
      </c>
      <c r="D457" s="13" t="s">
        <v>103</v>
      </c>
      <c r="E457" s="13" t="n">
        <v>5</v>
      </c>
      <c r="F457" s="15" t="str">
        <f aca="false">Jugadores!$B$9</f>
        <v>Jugador 5</v>
      </c>
      <c r="G457" s="16"/>
      <c r="H457" s="16"/>
      <c r="I457" s="16"/>
      <c r="J457" s="17" t="str">
        <f aca="false">IF(COUNT(G457:I457)=0,"",G457*55+H457*50+I457*50)</f>
        <v/>
      </c>
      <c r="K457" s="16"/>
      <c r="L457" s="16"/>
      <c r="M457" s="16"/>
      <c r="N457" s="17" t="str">
        <f aca="false">IF(COUNT(K457:M457)=0,"",MAX(K457:M457))</f>
        <v/>
      </c>
      <c r="O457" s="18" t="str">
        <f aca="false">IF(N457="","",IF(N457&gt;=7,"Sin pliometría ni velocidad. Solo isométricos, movilidad y tren superior. Valoración médica",IF(N457&gt;=4,"Sin pliometría el lunes. Sentadilla española 5x45 s","Sesión normal")))</f>
        <v/>
      </c>
      <c r="P457" s="16"/>
      <c r="Q457" s="16"/>
    </row>
    <row r="458" customFormat="false" ht="15" hidden="false" customHeight="false" outlineLevel="0" collapsed="false">
      <c r="A458" s="13" t="n">
        <v>33</v>
      </c>
      <c r="B458" s="14" t="n">
        <v>46496</v>
      </c>
      <c r="C458" s="13" t="s">
        <v>100</v>
      </c>
      <c r="D458" s="13" t="s">
        <v>103</v>
      </c>
      <c r="E458" s="13" t="n">
        <v>5</v>
      </c>
      <c r="F458" s="15" t="str">
        <f aca="false">Jugadores!$B$10</f>
        <v>Jugador 6</v>
      </c>
      <c r="G458" s="16"/>
      <c r="H458" s="16"/>
      <c r="I458" s="16"/>
      <c r="J458" s="17" t="str">
        <f aca="false">IF(COUNT(G458:I458)=0,"",G458*55+H458*50+I458*50)</f>
        <v/>
      </c>
      <c r="K458" s="16"/>
      <c r="L458" s="16"/>
      <c r="M458" s="16"/>
      <c r="N458" s="17" t="str">
        <f aca="false">IF(COUNT(K458:M458)=0,"",MAX(K458:M458))</f>
        <v/>
      </c>
      <c r="O458" s="18" t="str">
        <f aca="false">IF(N458="","",IF(N458&gt;=7,"Sin pliometría ni velocidad. Solo isométricos, movilidad y tren superior. Valoración médica",IF(N458&gt;=4,"Sin pliometría el lunes. Sentadilla española 5x45 s","Sesión normal")))</f>
        <v/>
      </c>
      <c r="P458" s="16"/>
      <c r="Q458" s="16"/>
    </row>
    <row r="459" customFormat="false" ht="15" hidden="false" customHeight="false" outlineLevel="0" collapsed="false">
      <c r="A459" s="13" t="n">
        <v>33</v>
      </c>
      <c r="B459" s="14" t="n">
        <v>46496</v>
      </c>
      <c r="C459" s="13" t="s">
        <v>100</v>
      </c>
      <c r="D459" s="13" t="s">
        <v>103</v>
      </c>
      <c r="E459" s="13" t="n">
        <v>5</v>
      </c>
      <c r="F459" s="15" t="str">
        <f aca="false">Jugadores!$B$11</f>
        <v>Jugador 7</v>
      </c>
      <c r="G459" s="16"/>
      <c r="H459" s="16"/>
      <c r="I459" s="16"/>
      <c r="J459" s="17" t="str">
        <f aca="false">IF(COUNT(G459:I459)=0,"",G459*55+H459*50+I459*50)</f>
        <v/>
      </c>
      <c r="K459" s="16"/>
      <c r="L459" s="16"/>
      <c r="M459" s="16"/>
      <c r="N459" s="17" t="str">
        <f aca="false">IF(COUNT(K459:M459)=0,"",MAX(K459:M459))</f>
        <v/>
      </c>
      <c r="O459" s="18" t="str">
        <f aca="false">IF(N459="","",IF(N459&gt;=7,"Sin pliometría ni velocidad. Solo isométricos, movilidad y tren superior. Valoración médica",IF(N459&gt;=4,"Sin pliometría el lunes. Sentadilla española 5x45 s","Sesión normal")))</f>
        <v/>
      </c>
      <c r="P459" s="16"/>
      <c r="Q459" s="16"/>
    </row>
    <row r="460" customFormat="false" ht="15" hidden="false" customHeight="false" outlineLevel="0" collapsed="false">
      <c r="A460" s="13" t="n">
        <v>33</v>
      </c>
      <c r="B460" s="14" t="n">
        <v>46496</v>
      </c>
      <c r="C460" s="13" t="s">
        <v>100</v>
      </c>
      <c r="D460" s="13" t="s">
        <v>103</v>
      </c>
      <c r="E460" s="13" t="n">
        <v>5</v>
      </c>
      <c r="F460" s="15" t="str">
        <f aca="false">Jugadores!$B$12</f>
        <v>Jugador 8</v>
      </c>
      <c r="G460" s="16"/>
      <c r="H460" s="16"/>
      <c r="I460" s="16"/>
      <c r="J460" s="17" t="str">
        <f aca="false">IF(COUNT(G460:I460)=0,"",G460*55+H460*50+I460*50)</f>
        <v/>
      </c>
      <c r="K460" s="16"/>
      <c r="L460" s="16"/>
      <c r="M460" s="16"/>
      <c r="N460" s="17" t="str">
        <f aca="false">IF(COUNT(K460:M460)=0,"",MAX(K460:M460))</f>
        <v/>
      </c>
      <c r="O460" s="18" t="str">
        <f aca="false">IF(N460="","",IF(N460&gt;=7,"Sin pliometría ni velocidad. Solo isométricos, movilidad y tren superior. Valoración médica",IF(N460&gt;=4,"Sin pliometría el lunes. Sentadilla española 5x45 s","Sesión normal")))</f>
        <v/>
      </c>
      <c r="P460" s="16"/>
      <c r="Q460" s="16"/>
    </row>
    <row r="461" customFormat="false" ht="15" hidden="false" customHeight="false" outlineLevel="0" collapsed="false">
      <c r="A461" s="13" t="n">
        <v>33</v>
      </c>
      <c r="B461" s="14" t="n">
        <v>46496</v>
      </c>
      <c r="C461" s="13" t="s">
        <v>100</v>
      </c>
      <c r="D461" s="13" t="s">
        <v>103</v>
      </c>
      <c r="E461" s="13" t="n">
        <v>5</v>
      </c>
      <c r="F461" s="15" t="str">
        <f aca="false">Jugadores!$B$13</f>
        <v>Jugador 9</v>
      </c>
      <c r="G461" s="16"/>
      <c r="H461" s="16"/>
      <c r="I461" s="16"/>
      <c r="J461" s="17" t="str">
        <f aca="false">IF(COUNT(G461:I461)=0,"",G461*55+H461*50+I461*50)</f>
        <v/>
      </c>
      <c r="K461" s="16"/>
      <c r="L461" s="16"/>
      <c r="M461" s="16"/>
      <c r="N461" s="17" t="str">
        <f aca="false">IF(COUNT(K461:M461)=0,"",MAX(K461:M461))</f>
        <v/>
      </c>
      <c r="O461" s="18" t="str">
        <f aca="false">IF(N461="","",IF(N461&gt;=7,"Sin pliometría ni velocidad. Solo isométricos, movilidad y tren superior. Valoración médica",IF(N461&gt;=4,"Sin pliometría el lunes. Sentadilla española 5x45 s","Sesión normal")))</f>
        <v/>
      </c>
      <c r="P461" s="16"/>
      <c r="Q461" s="16"/>
    </row>
    <row r="462" customFormat="false" ht="15" hidden="false" customHeight="false" outlineLevel="0" collapsed="false">
      <c r="A462" s="13" t="n">
        <v>33</v>
      </c>
      <c r="B462" s="14" t="n">
        <v>46496</v>
      </c>
      <c r="C462" s="13" t="s">
        <v>100</v>
      </c>
      <c r="D462" s="13" t="s">
        <v>103</v>
      </c>
      <c r="E462" s="13" t="n">
        <v>5</v>
      </c>
      <c r="F462" s="15" t="str">
        <f aca="false">Jugadores!$B$14</f>
        <v>Jugador 10</v>
      </c>
      <c r="G462" s="16"/>
      <c r="H462" s="16"/>
      <c r="I462" s="16"/>
      <c r="J462" s="17" t="str">
        <f aca="false">IF(COUNT(G462:I462)=0,"",G462*55+H462*50+I462*50)</f>
        <v/>
      </c>
      <c r="K462" s="16"/>
      <c r="L462" s="16"/>
      <c r="M462" s="16"/>
      <c r="N462" s="17" t="str">
        <f aca="false">IF(COUNT(K462:M462)=0,"",MAX(K462:M462))</f>
        <v/>
      </c>
      <c r="O462" s="18" t="str">
        <f aca="false">IF(N462="","",IF(N462&gt;=7,"Sin pliometría ni velocidad. Solo isométricos, movilidad y tren superior. Valoración médica",IF(N462&gt;=4,"Sin pliometría el lunes. Sentadilla española 5x45 s","Sesión normal")))</f>
        <v/>
      </c>
      <c r="P462" s="16"/>
      <c r="Q462" s="16"/>
    </row>
    <row r="463" customFormat="false" ht="15" hidden="false" customHeight="false" outlineLevel="0" collapsed="false">
      <c r="A463" s="13" t="n">
        <v>33</v>
      </c>
      <c r="B463" s="14" t="n">
        <v>46496</v>
      </c>
      <c r="C463" s="13" t="s">
        <v>100</v>
      </c>
      <c r="D463" s="13" t="s">
        <v>103</v>
      </c>
      <c r="E463" s="13" t="n">
        <v>5</v>
      </c>
      <c r="F463" s="15" t="str">
        <f aca="false">Jugadores!$B$15</f>
        <v>Jugador 11</v>
      </c>
      <c r="G463" s="16"/>
      <c r="H463" s="16"/>
      <c r="I463" s="16"/>
      <c r="J463" s="17" t="str">
        <f aca="false">IF(COUNT(G463:I463)=0,"",G463*55+H463*50+I463*50)</f>
        <v/>
      </c>
      <c r="K463" s="16"/>
      <c r="L463" s="16"/>
      <c r="M463" s="16"/>
      <c r="N463" s="17" t="str">
        <f aca="false">IF(COUNT(K463:M463)=0,"",MAX(K463:M463))</f>
        <v/>
      </c>
      <c r="O463" s="18" t="str">
        <f aca="false">IF(N463="","",IF(N463&gt;=7,"Sin pliometría ni velocidad. Solo isométricos, movilidad y tren superior. Valoración médica",IF(N463&gt;=4,"Sin pliometría el lunes. Sentadilla española 5x45 s","Sesión normal")))</f>
        <v/>
      </c>
      <c r="P463" s="16"/>
      <c r="Q463" s="16"/>
    </row>
    <row r="464" customFormat="false" ht="15" hidden="false" customHeight="false" outlineLevel="0" collapsed="false">
      <c r="A464" s="13" t="n">
        <v>33</v>
      </c>
      <c r="B464" s="14" t="n">
        <v>46496</v>
      </c>
      <c r="C464" s="13" t="s">
        <v>100</v>
      </c>
      <c r="D464" s="13" t="s">
        <v>103</v>
      </c>
      <c r="E464" s="13" t="n">
        <v>5</v>
      </c>
      <c r="F464" s="15" t="str">
        <f aca="false">Jugadores!$B$16</f>
        <v>Jugador 12</v>
      </c>
      <c r="G464" s="16"/>
      <c r="H464" s="16"/>
      <c r="I464" s="16"/>
      <c r="J464" s="17" t="str">
        <f aca="false">IF(COUNT(G464:I464)=0,"",G464*55+H464*50+I464*50)</f>
        <v/>
      </c>
      <c r="K464" s="16"/>
      <c r="L464" s="16"/>
      <c r="M464" s="16"/>
      <c r="N464" s="17" t="str">
        <f aca="false">IF(COUNT(K464:M464)=0,"",MAX(K464:M464))</f>
        <v/>
      </c>
      <c r="O464" s="18" t="str">
        <f aca="false">IF(N464="","",IF(N464&gt;=7,"Sin pliometría ni velocidad. Solo isométricos, movilidad y tren superior. Valoración médica",IF(N464&gt;=4,"Sin pliometría el lunes. Sentadilla española 5x45 s","Sesión normal")))</f>
        <v/>
      </c>
      <c r="P464" s="16"/>
      <c r="Q464" s="16"/>
    </row>
    <row r="465" customFormat="false" ht="15" hidden="false" customHeight="false" outlineLevel="0" collapsed="false">
      <c r="A465" s="13" t="n">
        <v>33</v>
      </c>
      <c r="B465" s="14" t="n">
        <v>46496</v>
      </c>
      <c r="C465" s="13" t="s">
        <v>100</v>
      </c>
      <c r="D465" s="13" t="s">
        <v>103</v>
      </c>
      <c r="E465" s="13" t="n">
        <v>5</v>
      </c>
      <c r="F465" s="15" t="str">
        <f aca="false">Jugadores!$B$17</f>
        <v>Jugador 13</v>
      </c>
      <c r="G465" s="16"/>
      <c r="H465" s="16"/>
      <c r="I465" s="16"/>
      <c r="J465" s="17" t="str">
        <f aca="false">IF(COUNT(G465:I465)=0,"",G465*55+H465*50+I465*50)</f>
        <v/>
      </c>
      <c r="K465" s="16"/>
      <c r="L465" s="16"/>
      <c r="M465" s="16"/>
      <c r="N465" s="17" t="str">
        <f aca="false">IF(COUNT(K465:M465)=0,"",MAX(K465:M465))</f>
        <v/>
      </c>
      <c r="O465" s="18" t="str">
        <f aca="false">IF(N465="","",IF(N465&gt;=7,"Sin pliometría ni velocidad. Solo isométricos, movilidad y tren superior. Valoración médica",IF(N465&gt;=4,"Sin pliometría el lunes. Sentadilla española 5x45 s","Sesión normal")))</f>
        <v/>
      </c>
      <c r="P465" s="16"/>
      <c r="Q465" s="16"/>
    </row>
    <row r="466" customFormat="false" ht="15" hidden="false" customHeight="false" outlineLevel="0" collapsed="false">
      <c r="A466" s="13" t="n">
        <v>33</v>
      </c>
      <c r="B466" s="14" t="n">
        <v>46496</v>
      </c>
      <c r="C466" s="13" t="s">
        <v>100</v>
      </c>
      <c r="D466" s="13" t="s">
        <v>103</v>
      </c>
      <c r="E466" s="13" t="n">
        <v>5</v>
      </c>
      <c r="F466" s="15" t="str">
        <f aca="false">Jugadores!$B$18</f>
        <v>Jugador 14</v>
      </c>
      <c r="G466" s="16"/>
      <c r="H466" s="16"/>
      <c r="I466" s="16"/>
      <c r="J466" s="17" t="str">
        <f aca="false">IF(COUNT(G466:I466)=0,"",G466*55+H466*50+I466*50)</f>
        <v/>
      </c>
      <c r="K466" s="16"/>
      <c r="L466" s="16"/>
      <c r="M466" s="16"/>
      <c r="N466" s="17" t="str">
        <f aca="false">IF(COUNT(K466:M466)=0,"",MAX(K466:M466))</f>
        <v/>
      </c>
      <c r="O466" s="18" t="str">
        <f aca="false">IF(N466="","",IF(N466&gt;=7,"Sin pliometría ni velocidad. Solo isométricos, movilidad y tren superior. Valoración médica",IF(N466&gt;=4,"Sin pliometría el lunes. Sentadilla española 5x45 s","Sesión normal")))</f>
        <v/>
      </c>
      <c r="P466" s="16"/>
      <c r="Q466" s="16"/>
    </row>
    <row r="467" customFormat="false" ht="15" hidden="false" customHeight="false" outlineLevel="0" collapsed="false">
      <c r="A467" s="13" t="n">
        <v>34</v>
      </c>
      <c r="B467" s="14" t="n">
        <v>46503</v>
      </c>
      <c r="C467" s="13" t="s">
        <v>104</v>
      </c>
      <c r="D467" s="13" t="s">
        <v>75</v>
      </c>
      <c r="E467" s="13" t="n">
        <v>6</v>
      </c>
      <c r="F467" s="15" t="str">
        <f aca="false">Jugadores!$B$5</f>
        <v>Jugador 1</v>
      </c>
      <c r="G467" s="16"/>
      <c r="H467" s="16"/>
      <c r="I467" s="16"/>
      <c r="J467" s="17" t="str">
        <f aca="false">IF(COUNT(G467:I467)=0,"",G467*55+H467*50+I467*50)</f>
        <v/>
      </c>
      <c r="K467" s="16"/>
      <c r="L467" s="16"/>
      <c r="M467" s="16"/>
      <c r="N467" s="17" t="str">
        <f aca="false">IF(COUNT(K467:M467)=0,"",MAX(K467:M467))</f>
        <v/>
      </c>
      <c r="O467" s="18" t="str">
        <f aca="false">IF(N467="","",IF(N467&gt;=7,"Sin pliometría ni velocidad. Solo isométricos, movilidad y tren superior. Valoración médica",IF(N467&gt;=4,"Sin pliometría el lunes. Sentadilla española 5x45 s","Sesión normal")))</f>
        <v/>
      </c>
      <c r="P467" s="16"/>
      <c r="Q467" s="16"/>
    </row>
    <row r="468" customFormat="false" ht="15" hidden="false" customHeight="false" outlineLevel="0" collapsed="false">
      <c r="A468" s="13" t="n">
        <v>34</v>
      </c>
      <c r="B468" s="14" t="n">
        <v>46503</v>
      </c>
      <c r="C468" s="13" t="s">
        <v>104</v>
      </c>
      <c r="D468" s="13" t="s">
        <v>75</v>
      </c>
      <c r="E468" s="13" t="n">
        <v>6</v>
      </c>
      <c r="F468" s="15" t="str">
        <f aca="false">Jugadores!$B$6</f>
        <v>Jugador 2</v>
      </c>
      <c r="G468" s="16"/>
      <c r="H468" s="16"/>
      <c r="I468" s="16"/>
      <c r="J468" s="17" t="str">
        <f aca="false">IF(COUNT(G468:I468)=0,"",G468*55+H468*50+I468*50)</f>
        <v/>
      </c>
      <c r="K468" s="16"/>
      <c r="L468" s="16"/>
      <c r="M468" s="16"/>
      <c r="N468" s="17" t="str">
        <f aca="false">IF(COUNT(K468:M468)=0,"",MAX(K468:M468))</f>
        <v/>
      </c>
      <c r="O468" s="18" t="str">
        <f aca="false">IF(N468="","",IF(N468&gt;=7,"Sin pliometría ni velocidad. Solo isométricos, movilidad y tren superior. Valoración médica",IF(N468&gt;=4,"Sin pliometría el lunes. Sentadilla española 5x45 s","Sesión normal")))</f>
        <v/>
      </c>
      <c r="P468" s="16"/>
      <c r="Q468" s="16"/>
    </row>
    <row r="469" customFormat="false" ht="15" hidden="false" customHeight="false" outlineLevel="0" collapsed="false">
      <c r="A469" s="13" t="n">
        <v>34</v>
      </c>
      <c r="B469" s="14" t="n">
        <v>46503</v>
      </c>
      <c r="C469" s="13" t="s">
        <v>104</v>
      </c>
      <c r="D469" s="13" t="s">
        <v>75</v>
      </c>
      <c r="E469" s="13" t="n">
        <v>6</v>
      </c>
      <c r="F469" s="15" t="str">
        <f aca="false">Jugadores!$B$7</f>
        <v>Jugador 3</v>
      </c>
      <c r="G469" s="16"/>
      <c r="H469" s="16"/>
      <c r="I469" s="16"/>
      <c r="J469" s="17" t="str">
        <f aca="false">IF(COUNT(G469:I469)=0,"",G469*55+H469*50+I469*50)</f>
        <v/>
      </c>
      <c r="K469" s="16"/>
      <c r="L469" s="16"/>
      <c r="M469" s="16"/>
      <c r="N469" s="17" t="str">
        <f aca="false">IF(COUNT(K469:M469)=0,"",MAX(K469:M469))</f>
        <v/>
      </c>
      <c r="O469" s="18" t="str">
        <f aca="false">IF(N469="","",IF(N469&gt;=7,"Sin pliometría ni velocidad. Solo isométricos, movilidad y tren superior. Valoración médica",IF(N469&gt;=4,"Sin pliometría el lunes. Sentadilla española 5x45 s","Sesión normal")))</f>
        <v/>
      </c>
      <c r="P469" s="16"/>
      <c r="Q469" s="16"/>
    </row>
    <row r="470" customFormat="false" ht="15" hidden="false" customHeight="false" outlineLevel="0" collapsed="false">
      <c r="A470" s="13" t="n">
        <v>34</v>
      </c>
      <c r="B470" s="14" t="n">
        <v>46503</v>
      </c>
      <c r="C470" s="13" t="s">
        <v>104</v>
      </c>
      <c r="D470" s="13" t="s">
        <v>75</v>
      </c>
      <c r="E470" s="13" t="n">
        <v>6</v>
      </c>
      <c r="F470" s="15" t="str">
        <f aca="false">Jugadores!$B$8</f>
        <v>Jugador 4</v>
      </c>
      <c r="G470" s="16"/>
      <c r="H470" s="16"/>
      <c r="I470" s="16"/>
      <c r="J470" s="17" t="str">
        <f aca="false">IF(COUNT(G470:I470)=0,"",G470*55+H470*50+I470*50)</f>
        <v/>
      </c>
      <c r="K470" s="16"/>
      <c r="L470" s="16"/>
      <c r="M470" s="16"/>
      <c r="N470" s="17" t="str">
        <f aca="false">IF(COUNT(K470:M470)=0,"",MAX(K470:M470))</f>
        <v/>
      </c>
      <c r="O470" s="18" t="str">
        <f aca="false">IF(N470="","",IF(N470&gt;=7,"Sin pliometría ni velocidad. Solo isométricos, movilidad y tren superior. Valoración médica",IF(N470&gt;=4,"Sin pliometría el lunes. Sentadilla española 5x45 s","Sesión normal")))</f>
        <v/>
      </c>
      <c r="P470" s="16"/>
      <c r="Q470" s="16"/>
    </row>
    <row r="471" customFormat="false" ht="15" hidden="false" customHeight="false" outlineLevel="0" collapsed="false">
      <c r="A471" s="13" t="n">
        <v>34</v>
      </c>
      <c r="B471" s="14" t="n">
        <v>46503</v>
      </c>
      <c r="C471" s="13" t="s">
        <v>104</v>
      </c>
      <c r="D471" s="13" t="s">
        <v>75</v>
      </c>
      <c r="E471" s="13" t="n">
        <v>6</v>
      </c>
      <c r="F471" s="15" t="str">
        <f aca="false">Jugadores!$B$9</f>
        <v>Jugador 5</v>
      </c>
      <c r="G471" s="16"/>
      <c r="H471" s="16"/>
      <c r="I471" s="16"/>
      <c r="J471" s="17" t="str">
        <f aca="false">IF(COUNT(G471:I471)=0,"",G471*55+H471*50+I471*50)</f>
        <v/>
      </c>
      <c r="K471" s="16"/>
      <c r="L471" s="16"/>
      <c r="M471" s="16"/>
      <c r="N471" s="17" t="str">
        <f aca="false">IF(COUNT(K471:M471)=0,"",MAX(K471:M471))</f>
        <v/>
      </c>
      <c r="O471" s="18" t="str">
        <f aca="false">IF(N471="","",IF(N471&gt;=7,"Sin pliometría ni velocidad. Solo isométricos, movilidad y tren superior. Valoración médica",IF(N471&gt;=4,"Sin pliometría el lunes. Sentadilla española 5x45 s","Sesión normal")))</f>
        <v/>
      </c>
      <c r="P471" s="16"/>
      <c r="Q471" s="16"/>
    </row>
    <row r="472" customFormat="false" ht="15" hidden="false" customHeight="false" outlineLevel="0" collapsed="false">
      <c r="A472" s="13" t="n">
        <v>34</v>
      </c>
      <c r="B472" s="14" t="n">
        <v>46503</v>
      </c>
      <c r="C472" s="13" t="s">
        <v>104</v>
      </c>
      <c r="D472" s="13" t="s">
        <v>75</v>
      </c>
      <c r="E472" s="13" t="n">
        <v>6</v>
      </c>
      <c r="F472" s="15" t="str">
        <f aca="false">Jugadores!$B$10</f>
        <v>Jugador 6</v>
      </c>
      <c r="G472" s="16"/>
      <c r="H472" s="16"/>
      <c r="I472" s="16"/>
      <c r="J472" s="17" t="str">
        <f aca="false">IF(COUNT(G472:I472)=0,"",G472*55+H472*50+I472*50)</f>
        <v/>
      </c>
      <c r="K472" s="16"/>
      <c r="L472" s="16"/>
      <c r="M472" s="16"/>
      <c r="N472" s="17" t="str">
        <f aca="false">IF(COUNT(K472:M472)=0,"",MAX(K472:M472))</f>
        <v/>
      </c>
      <c r="O472" s="18" t="str">
        <f aca="false">IF(N472="","",IF(N472&gt;=7,"Sin pliometría ni velocidad. Solo isométricos, movilidad y tren superior. Valoración médica",IF(N472&gt;=4,"Sin pliometría el lunes. Sentadilla española 5x45 s","Sesión normal")))</f>
        <v/>
      </c>
      <c r="P472" s="16"/>
      <c r="Q472" s="16"/>
    </row>
    <row r="473" customFormat="false" ht="15" hidden="false" customHeight="false" outlineLevel="0" collapsed="false">
      <c r="A473" s="13" t="n">
        <v>34</v>
      </c>
      <c r="B473" s="14" t="n">
        <v>46503</v>
      </c>
      <c r="C473" s="13" t="s">
        <v>104</v>
      </c>
      <c r="D473" s="13" t="s">
        <v>75</v>
      </c>
      <c r="E473" s="13" t="n">
        <v>6</v>
      </c>
      <c r="F473" s="15" t="str">
        <f aca="false">Jugadores!$B$11</f>
        <v>Jugador 7</v>
      </c>
      <c r="G473" s="16"/>
      <c r="H473" s="16"/>
      <c r="I473" s="16"/>
      <c r="J473" s="17" t="str">
        <f aca="false">IF(COUNT(G473:I473)=0,"",G473*55+H473*50+I473*50)</f>
        <v/>
      </c>
      <c r="K473" s="16"/>
      <c r="L473" s="16"/>
      <c r="M473" s="16"/>
      <c r="N473" s="17" t="str">
        <f aca="false">IF(COUNT(K473:M473)=0,"",MAX(K473:M473))</f>
        <v/>
      </c>
      <c r="O473" s="18" t="str">
        <f aca="false">IF(N473="","",IF(N473&gt;=7,"Sin pliometría ni velocidad. Solo isométricos, movilidad y tren superior. Valoración médica",IF(N473&gt;=4,"Sin pliometría el lunes. Sentadilla española 5x45 s","Sesión normal")))</f>
        <v/>
      </c>
      <c r="P473" s="16"/>
      <c r="Q473" s="16"/>
    </row>
    <row r="474" customFormat="false" ht="15" hidden="false" customHeight="false" outlineLevel="0" collapsed="false">
      <c r="A474" s="13" t="n">
        <v>34</v>
      </c>
      <c r="B474" s="14" t="n">
        <v>46503</v>
      </c>
      <c r="C474" s="13" t="s">
        <v>104</v>
      </c>
      <c r="D474" s="13" t="s">
        <v>75</v>
      </c>
      <c r="E474" s="13" t="n">
        <v>6</v>
      </c>
      <c r="F474" s="15" t="str">
        <f aca="false">Jugadores!$B$12</f>
        <v>Jugador 8</v>
      </c>
      <c r="G474" s="16"/>
      <c r="H474" s="16"/>
      <c r="I474" s="16"/>
      <c r="J474" s="17" t="str">
        <f aca="false">IF(COUNT(G474:I474)=0,"",G474*55+H474*50+I474*50)</f>
        <v/>
      </c>
      <c r="K474" s="16"/>
      <c r="L474" s="16"/>
      <c r="M474" s="16"/>
      <c r="N474" s="17" t="str">
        <f aca="false">IF(COUNT(K474:M474)=0,"",MAX(K474:M474))</f>
        <v/>
      </c>
      <c r="O474" s="18" t="str">
        <f aca="false">IF(N474="","",IF(N474&gt;=7,"Sin pliometría ni velocidad. Solo isométricos, movilidad y tren superior. Valoración médica",IF(N474&gt;=4,"Sin pliometría el lunes. Sentadilla española 5x45 s","Sesión normal")))</f>
        <v/>
      </c>
      <c r="P474" s="16"/>
      <c r="Q474" s="16"/>
    </row>
    <row r="475" customFormat="false" ht="15" hidden="false" customHeight="false" outlineLevel="0" collapsed="false">
      <c r="A475" s="13" t="n">
        <v>34</v>
      </c>
      <c r="B475" s="14" t="n">
        <v>46503</v>
      </c>
      <c r="C475" s="13" t="s">
        <v>104</v>
      </c>
      <c r="D475" s="13" t="s">
        <v>75</v>
      </c>
      <c r="E475" s="13" t="n">
        <v>6</v>
      </c>
      <c r="F475" s="15" t="str">
        <f aca="false">Jugadores!$B$13</f>
        <v>Jugador 9</v>
      </c>
      <c r="G475" s="16"/>
      <c r="H475" s="16"/>
      <c r="I475" s="16"/>
      <c r="J475" s="17" t="str">
        <f aca="false">IF(COUNT(G475:I475)=0,"",G475*55+H475*50+I475*50)</f>
        <v/>
      </c>
      <c r="K475" s="16"/>
      <c r="L475" s="16"/>
      <c r="M475" s="16"/>
      <c r="N475" s="17" t="str">
        <f aca="false">IF(COUNT(K475:M475)=0,"",MAX(K475:M475))</f>
        <v/>
      </c>
      <c r="O475" s="18" t="str">
        <f aca="false">IF(N475="","",IF(N475&gt;=7,"Sin pliometría ni velocidad. Solo isométricos, movilidad y tren superior. Valoración médica",IF(N475&gt;=4,"Sin pliometría el lunes. Sentadilla española 5x45 s","Sesión normal")))</f>
        <v/>
      </c>
      <c r="P475" s="16"/>
      <c r="Q475" s="16"/>
    </row>
    <row r="476" customFormat="false" ht="15" hidden="false" customHeight="false" outlineLevel="0" collapsed="false">
      <c r="A476" s="13" t="n">
        <v>34</v>
      </c>
      <c r="B476" s="14" t="n">
        <v>46503</v>
      </c>
      <c r="C476" s="13" t="s">
        <v>104</v>
      </c>
      <c r="D476" s="13" t="s">
        <v>75</v>
      </c>
      <c r="E476" s="13" t="n">
        <v>6</v>
      </c>
      <c r="F476" s="15" t="str">
        <f aca="false">Jugadores!$B$14</f>
        <v>Jugador 10</v>
      </c>
      <c r="G476" s="16"/>
      <c r="H476" s="16"/>
      <c r="I476" s="16"/>
      <c r="J476" s="17" t="str">
        <f aca="false">IF(COUNT(G476:I476)=0,"",G476*55+H476*50+I476*50)</f>
        <v/>
      </c>
      <c r="K476" s="16"/>
      <c r="L476" s="16"/>
      <c r="M476" s="16"/>
      <c r="N476" s="17" t="str">
        <f aca="false">IF(COUNT(K476:M476)=0,"",MAX(K476:M476))</f>
        <v/>
      </c>
      <c r="O476" s="18" t="str">
        <f aca="false">IF(N476="","",IF(N476&gt;=7,"Sin pliometría ni velocidad. Solo isométricos, movilidad y tren superior. Valoración médica",IF(N476&gt;=4,"Sin pliometría el lunes. Sentadilla española 5x45 s","Sesión normal")))</f>
        <v/>
      </c>
      <c r="P476" s="16"/>
      <c r="Q476" s="16"/>
    </row>
    <row r="477" customFormat="false" ht="15" hidden="false" customHeight="false" outlineLevel="0" collapsed="false">
      <c r="A477" s="13" t="n">
        <v>34</v>
      </c>
      <c r="B477" s="14" t="n">
        <v>46503</v>
      </c>
      <c r="C477" s="13" t="s">
        <v>104</v>
      </c>
      <c r="D477" s="13" t="s">
        <v>75</v>
      </c>
      <c r="E477" s="13" t="n">
        <v>6</v>
      </c>
      <c r="F477" s="15" t="str">
        <f aca="false">Jugadores!$B$15</f>
        <v>Jugador 11</v>
      </c>
      <c r="G477" s="16"/>
      <c r="H477" s="16"/>
      <c r="I477" s="16"/>
      <c r="J477" s="17" t="str">
        <f aca="false">IF(COUNT(G477:I477)=0,"",G477*55+H477*50+I477*50)</f>
        <v/>
      </c>
      <c r="K477" s="16"/>
      <c r="L477" s="16"/>
      <c r="M477" s="16"/>
      <c r="N477" s="17" t="str">
        <f aca="false">IF(COUNT(K477:M477)=0,"",MAX(K477:M477))</f>
        <v/>
      </c>
      <c r="O477" s="18" t="str">
        <f aca="false">IF(N477="","",IF(N477&gt;=7,"Sin pliometría ni velocidad. Solo isométricos, movilidad y tren superior. Valoración médica",IF(N477&gt;=4,"Sin pliometría el lunes. Sentadilla española 5x45 s","Sesión normal")))</f>
        <v/>
      </c>
      <c r="P477" s="16"/>
      <c r="Q477" s="16"/>
    </row>
    <row r="478" customFormat="false" ht="15" hidden="false" customHeight="false" outlineLevel="0" collapsed="false">
      <c r="A478" s="13" t="n">
        <v>34</v>
      </c>
      <c r="B478" s="14" t="n">
        <v>46503</v>
      </c>
      <c r="C478" s="13" t="s">
        <v>104</v>
      </c>
      <c r="D478" s="13" t="s">
        <v>75</v>
      </c>
      <c r="E478" s="13" t="n">
        <v>6</v>
      </c>
      <c r="F478" s="15" t="str">
        <f aca="false">Jugadores!$B$16</f>
        <v>Jugador 12</v>
      </c>
      <c r="G478" s="16"/>
      <c r="H478" s="16"/>
      <c r="I478" s="16"/>
      <c r="J478" s="17" t="str">
        <f aca="false">IF(COUNT(G478:I478)=0,"",G478*55+H478*50+I478*50)</f>
        <v/>
      </c>
      <c r="K478" s="16"/>
      <c r="L478" s="16"/>
      <c r="M478" s="16"/>
      <c r="N478" s="17" t="str">
        <f aca="false">IF(COUNT(K478:M478)=0,"",MAX(K478:M478))</f>
        <v/>
      </c>
      <c r="O478" s="18" t="str">
        <f aca="false">IF(N478="","",IF(N478&gt;=7,"Sin pliometría ni velocidad. Solo isométricos, movilidad y tren superior. Valoración médica",IF(N478&gt;=4,"Sin pliometría el lunes. Sentadilla española 5x45 s","Sesión normal")))</f>
        <v/>
      </c>
      <c r="P478" s="16"/>
      <c r="Q478" s="16"/>
    </row>
    <row r="479" customFormat="false" ht="15" hidden="false" customHeight="false" outlineLevel="0" collapsed="false">
      <c r="A479" s="13" t="n">
        <v>34</v>
      </c>
      <c r="B479" s="14" t="n">
        <v>46503</v>
      </c>
      <c r="C479" s="13" t="s">
        <v>104</v>
      </c>
      <c r="D479" s="13" t="s">
        <v>75</v>
      </c>
      <c r="E479" s="13" t="n">
        <v>6</v>
      </c>
      <c r="F479" s="15" t="str">
        <f aca="false">Jugadores!$B$17</f>
        <v>Jugador 13</v>
      </c>
      <c r="G479" s="16"/>
      <c r="H479" s="16"/>
      <c r="I479" s="16"/>
      <c r="J479" s="17" t="str">
        <f aca="false">IF(COUNT(G479:I479)=0,"",G479*55+H479*50+I479*50)</f>
        <v/>
      </c>
      <c r="K479" s="16"/>
      <c r="L479" s="16"/>
      <c r="M479" s="16"/>
      <c r="N479" s="17" t="str">
        <f aca="false">IF(COUNT(K479:M479)=0,"",MAX(K479:M479))</f>
        <v/>
      </c>
      <c r="O479" s="18" t="str">
        <f aca="false">IF(N479="","",IF(N479&gt;=7,"Sin pliometría ni velocidad. Solo isométricos, movilidad y tren superior. Valoración médica",IF(N479&gt;=4,"Sin pliometría el lunes. Sentadilla española 5x45 s","Sesión normal")))</f>
        <v/>
      </c>
      <c r="P479" s="16"/>
      <c r="Q479" s="16"/>
    </row>
    <row r="480" customFormat="false" ht="15" hidden="false" customHeight="false" outlineLevel="0" collapsed="false">
      <c r="A480" s="13" t="n">
        <v>34</v>
      </c>
      <c r="B480" s="14" t="n">
        <v>46503</v>
      </c>
      <c r="C480" s="13" t="s">
        <v>104</v>
      </c>
      <c r="D480" s="13" t="s">
        <v>75</v>
      </c>
      <c r="E480" s="13" t="n">
        <v>6</v>
      </c>
      <c r="F480" s="15" t="str">
        <f aca="false">Jugadores!$B$18</f>
        <v>Jugador 14</v>
      </c>
      <c r="G480" s="16"/>
      <c r="H480" s="16"/>
      <c r="I480" s="16"/>
      <c r="J480" s="17" t="str">
        <f aca="false">IF(COUNT(G480:I480)=0,"",G480*55+H480*50+I480*50)</f>
        <v/>
      </c>
      <c r="K480" s="16"/>
      <c r="L480" s="16"/>
      <c r="M480" s="16"/>
      <c r="N480" s="17" t="str">
        <f aca="false">IF(COUNT(K480:M480)=0,"",MAX(K480:M480))</f>
        <v/>
      </c>
      <c r="O480" s="18" t="str">
        <f aca="false">IF(N480="","",IF(N480&gt;=7,"Sin pliometría ni velocidad. Solo isométricos, movilidad y tren superior. Valoración médica",IF(N480&gt;=4,"Sin pliometría el lunes. Sentadilla española 5x45 s","Sesión normal")))</f>
        <v/>
      </c>
      <c r="P480" s="16"/>
      <c r="Q480" s="16"/>
    </row>
    <row r="481" customFormat="false" ht="15" hidden="false" customHeight="false" outlineLevel="0" collapsed="false">
      <c r="A481" s="13" t="n">
        <v>35</v>
      </c>
      <c r="B481" s="14" t="n">
        <v>46510</v>
      </c>
      <c r="C481" s="13" t="s">
        <v>104</v>
      </c>
      <c r="D481" s="13" t="s">
        <v>105</v>
      </c>
      <c r="E481" s="13" t="n">
        <v>4</v>
      </c>
      <c r="F481" s="15" t="str">
        <f aca="false">Jugadores!$B$5</f>
        <v>Jugador 1</v>
      </c>
      <c r="G481" s="16"/>
      <c r="H481" s="16"/>
      <c r="I481" s="16"/>
      <c r="J481" s="17" t="str">
        <f aca="false">IF(COUNT(G481:I481)=0,"",G481*55+H481*50+I481*50)</f>
        <v/>
      </c>
      <c r="K481" s="16"/>
      <c r="L481" s="16"/>
      <c r="M481" s="16"/>
      <c r="N481" s="17" t="str">
        <f aca="false">IF(COUNT(K481:M481)=0,"",MAX(K481:M481))</f>
        <v/>
      </c>
      <c r="O481" s="18" t="str">
        <f aca="false">IF(N481="","",IF(N481&gt;=7,"Sin pliometría ni velocidad. Solo isométricos, movilidad y tren superior. Valoración médica",IF(N481&gt;=4,"Sin pliometría el lunes. Sentadilla española 5x45 s","Sesión normal")))</f>
        <v/>
      </c>
      <c r="P481" s="16"/>
      <c r="Q481" s="16"/>
    </row>
    <row r="482" customFormat="false" ht="15" hidden="false" customHeight="false" outlineLevel="0" collapsed="false">
      <c r="A482" s="13" t="n">
        <v>35</v>
      </c>
      <c r="B482" s="14" t="n">
        <v>46510</v>
      </c>
      <c r="C482" s="13" t="s">
        <v>104</v>
      </c>
      <c r="D482" s="13" t="s">
        <v>105</v>
      </c>
      <c r="E482" s="13" t="n">
        <v>4</v>
      </c>
      <c r="F482" s="15" t="str">
        <f aca="false">Jugadores!$B$6</f>
        <v>Jugador 2</v>
      </c>
      <c r="G482" s="16"/>
      <c r="H482" s="16"/>
      <c r="I482" s="16"/>
      <c r="J482" s="17" t="str">
        <f aca="false">IF(COUNT(G482:I482)=0,"",G482*55+H482*50+I482*50)</f>
        <v/>
      </c>
      <c r="K482" s="16"/>
      <c r="L482" s="16"/>
      <c r="M482" s="16"/>
      <c r="N482" s="17" t="str">
        <f aca="false">IF(COUNT(K482:M482)=0,"",MAX(K482:M482))</f>
        <v/>
      </c>
      <c r="O482" s="18" t="str">
        <f aca="false">IF(N482="","",IF(N482&gt;=7,"Sin pliometría ni velocidad. Solo isométricos, movilidad y tren superior. Valoración médica",IF(N482&gt;=4,"Sin pliometría el lunes. Sentadilla española 5x45 s","Sesión normal")))</f>
        <v/>
      </c>
      <c r="P482" s="16"/>
      <c r="Q482" s="16"/>
    </row>
    <row r="483" customFormat="false" ht="15" hidden="false" customHeight="false" outlineLevel="0" collapsed="false">
      <c r="A483" s="13" t="n">
        <v>35</v>
      </c>
      <c r="B483" s="14" t="n">
        <v>46510</v>
      </c>
      <c r="C483" s="13" t="s">
        <v>104</v>
      </c>
      <c r="D483" s="13" t="s">
        <v>105</v>
      </c>
      <c r="E483" s="13" t="n">
        <v>4</v>
      </c>
      <c r="F483" s="15" t="str">
        <f aca="false">Jugadores!$B$7</f>
        <v>Jugador 3</v>
      </c>
      <c r="G483" s="16"/>
      <c r="H483" s="16"/>
      <c r="I483" s="16"/>
      <c r="J483" s="17" t="str">
        <f aca="false">IF(COUNT(G483:I483)=0,"",G483*55+H483*50+I483*50)</f>
        <v/>
      </c>
      <c r="K483" s="16"/>
      <c r="L483" s="16"/>
      <c r="M483" s="16"/>
      <c r="N483" s="17" t="str">
        <f aca="false">IF(COUNT(K483:M483)=0,"",MAX(K483:M483))</f>
        <v/>
      </c>
      <c r="O483" s="18" t="str">
        <f aca="false">IF(N483="","",IF(N483&gt;=7,"Sin pliometría ni velocidad. Solo isométricos, movilidad y tren superior. Valoración médica",IF(N483&gt;=4,"Sin pliometría el lunes. Sentadilla española 5x45 s","Sesión normal")))</f>
        <v/>
      </c>
      <c r="P483" s="16"/>
      <c r="Q483" s="16"/>
    </row>
    <row r="484" customFormat="false" ht="15" hidden="false" customHeight="false" outlineLevel="0" collapsed="false">
      <c r="A484" s="13" t="n">
        <v>35</v>
      </c>
      <c r="B484" s="14" t="n">
        <v>46510</v>
      </c>
      <c r="C484" s="13" t="s">
        <v>104</v>
      </c>
      <c r="D484" s="13" t="s">
        <v>105</v>
      </c>
      <c r="E484" s="13" t="n">
        <v>4</v>
      </c>
      <c r="F484" s="15" t="str">
        <f aca="false">Jugadores!$B$8</f>
        <v>Jugador 4</v>
      </c>
      <c r="G484" s="16"/>
      <c r="H484" s="16"/>
      <c r="I484" s="16"/>
      <c r="J484" s="17" t="str">
        <f aca="false">IF(COUNT(G484:I484)=0,"",G484*55+H484*50+I484*50)</f>
        <v/>
      </c>
      <c r="K484" s="16"/>
      <c r="L484" s="16"/>
      <c r="M484" s="16"/>
      <c r="N484" s="17" t="str">
        <f aca="false">IF(COUNT(K484:M484)=0,"",MAX(K484:M484))</f>
        <v/>
      </c>
      <c r="O484" s="18" t="str">
        <f aca="false">IF(N484="","",IF(N484&gt;=7,"Sin pliometría ni velocidad. Solo isométricos, movilidad y tren superior. Valoración médica",IF(N484&gt;=4,"Sin pliometría el lunes. Sentadilla española 5x45 s","Sesión normal")))</f>
        <v/>
      </c>
      <c r="P484" s="16"/>
      <c r="Q484" s="16"/>
    </row>
    <row r="485" customFormat="false" ht="15" hidden="false" customHeight="false" outlineLevel="0" collapsed="false">
      <c r="A485" s="13" t="n">
        <v>35</v>
      </c>
      <c r="B485" s="14" t="n">
        <v>46510</v>
      </c>
      <c r="C485" s="13" t="s">
        <v>104</v>
      </c>
      <c r="D485" s="13" t="s">
        <v>105</v>
      </c>
      <c r="E485" s="13" t="n">
        <v>4</v>
      </c>
      <c r="F485" s="15" t="str">
        <f aca="false">Jugadores!$B$9</f>
        <v>Jugador 5</v>
      </c>
      <c r="G485" s="16"/>
      <c r="H485" s="16"/>
      <c r="I485" s="16"/>
      <c r="J485" s="17" t="str">
        <f aca="false">IF(COUNT(G485:I485)=0,"",G485*55+H485*50+I485*50)</f>
        <v/>
      </c>
      <c r="K485" s="16"/>
      <c r="L485" s="16"/>
      <c r="M485" s="16"/>
      <c r="N485" s="17" t="str">
        <f aca="false">IF(COUNT(K485:M485)=0,"",MAX(K485:M485))</f>
        <v/>
      </c>
      <c r="O485" s="18" t="str">
        <f aca="false">IF(N485="","",IF(N485&gt;=7,"Sin pliometría ni velocidad. Solo isométricos, movilidad y tren superior. Valoración médica",IF(N485&gt;=4,"Sin pliometría el lunes. Sentadilla española 5x45 s","Sesión normal")))</f>
        <v/>
      </c>
      <c r="P485" s="16"/>
      <c r="Q485" s="16"/>
    </row>
    <row r="486" customFormat="false" ht="15" hidden="false" customHeight="false" outlineLevel="0" collapsed="false">
      <c r="A486" s="13" t="n">
        <v>35</v>
      </c>
      <c r="B486" s="14" t="n">
        <v>46510</v>
      </c>
      <c r="C486" s="13" t="s">
        <v>104</v>
      </c>
      <c r="D486" s="13" t="s">
        <v>105</v>
      </c>
      <c r="E486" s="13" t="n">
        <v>4</v>
      </c>
      <c r="F486" s="15" t="str">
        <f aca="false">Jugadores!$B$10</f>
        <v>Jugador 6</v>
      </c>
      <c r="G486" s="16"/>
      <c r="H486" s="16"/>
      <c r="I486" s="16"/>
      <c r="J486" s="17" t="str">
        <f aca="false">IF(COUNT(G486:I486)=0,"",G486*55+H486*50+I486*50)</f>
        <v/>
      </c>
      <c r="K486" s="16"/>
      <c r="L486" s="16"/>
      <c r="M486" s="16"/>
      <c r="N486" s="17" t="str">
        <f aca="false">IF(COUNT(K486:M486)=0,"",MAX(K486:M486))</f>
        <v/>
      </c>
      <c r="O486" s="18" t="str">
        <f aca="false">IF(N486="","",IF(N486&gt;=7,"Sin pliometría ni velocidad. Solo isométricos, movilidad y tren superior. Valoración médica",IF(N486&gt;=4,"Sin pliometría el lunes. Sentadilla española 5x45 s","Sesión normal")))</f>
        <v/>
      </c>
      <c r="P486" s="16"/>
      <c r="Q486" s="16"/>
    </row>
    <row r="487" customFormat="false" ht="15" hidden="false" customHeight="false" outlineLevel="0" collapsed="false">
      <c r="A487" s="13" t="n">
        <v>35</v>
      </c>
      <c r="B487" s="14" t="n">
        <v>46510</v>
      </c>
      <c r="C487" s="13" t="s">
        <v>104</v>
      </c>
      <c r="D487" s="13" t="s">
        <v>105</v>
      </c>
      <c r="E487" s="13" t="n">
        <v>4</v>
      </c>
      <c r="F487" s="15" t="str">
        <f aca="false">Jugadores!$B$11</f>
        <v>Jugador 7</v>
      </c>
      <c r="G487" s="16"/>
      <c r="H487" s="16"/>
      <c r="I487" s="16"/>
      <c r="J487" s="17" t="str">
        <f aca="false">IF(COUNT(G487:I487)=0,"",G487*55+H487*50+I487*50)</f>
        <v/>
      </c>
      <c r="K487" s="16"/>
      <c r="L487" s="16"/>
      <c r="M487" s="16"/>
      <c r="N487" s="17" t="str">
        <f aca="false">IF(COUNT(K487:M487)=0,"",MAX(K487:M487))</f>
        <v/>
      </c>
      <c r="O487" s="18" t="str">
        <f aca="false">IF(N487="","",IF(N487&gt;=7,"Sin pliometría ni velocidad. Solo isométricos, movilidad y tren superior. Valoración médica",IF(N487&gt;=4,"Sin pliometría el lunes. Sentadilla española 5x45 s","Sesión normal")))</f>
        <v/>
      </c>
      <c r="P487" s="16"/>
      <c r="Q487" s="16"/>
    </row>
    <row r="488" customFormat="false" ht="15" hidden="false" customHeight="false" outlineLevel="0" collapsed="false">
      <c r="A488" s="13" t="n">
        <v>35</v>
      </c>
      <c r="B488" s="14" t="n">
        <v>46510</v>
      </c>
      <c r="C488" s="13" t="s">
        <v>104</v>
      </c>
      <c r="D488" s="13" t="s">
        <v>105</v>
      </c>
      <c r="E488" s="13" t="n">
        <v>4</v>
      </c>
      <c r="F488" s="15" t="str">
        <f aca="false">Jugadores!$B$12</f>
        <v>Jugador 8</v>
      </c>
      <c r="G488" s="16"/>
      <c r="H488" s="16"/>
      <c r="I488" s="16"/>
      <c r="J488" s="17" t="str">
        <f aca="false">IF(COUNT(G488:I488)=0,"",G488*55+H488*50+I488*50)</f>
        <v/>
      </c>
      <c r="K488" s="16"/>
      <c r="L488" s="16"/>
      <c r="M488" s="16"/>
      <c r="N488" s="17" t="str">
        <f aca="false">IF(COUNT(K488:M488)=0,"",MAX(K488:M488))</f>
        <v/>
      </c>
      <c r="O488" s="18" t="str">
        <f aca="false">IF(N488="","",IF(N488&gt;=7,"Sin pliometría ni velocidad. Solo isométricos, movilidad y tren superior. Valoración médica",IF(N488&gt;=4,"Sin pliometría el lunes. Sentadilla española 5x45 s","Sesión normal")))</f>
        <v/>
      </c>
      <c r="P488" s="16"/>
      <c r="Q488" s="16"/>
    </row>
    <row r="489" customFormat="false" ht="15" hidden="false" customHeight="false" outlineLevel="0" collapsed="false">
      <c r="A489" s="13" t="n">
        <v>35</v>
      </c>
      <c r="B489" s="14" t="n">
        <v>46510</v>
      </c>
      <c r="C489" s="13" t="s">
        <v>104</v>
      </c>
      <c r="D489" s="13" t="s">
        <v>105</v>
      </c>
      <c r="E489" s="13" t="n">
        <v>4</v>
      </c>
      <c r="F489" s="15" t="str">
        <f aca="false">Jugadores!$B$13</f>
        <v>Jugador 9</v>
      </c>
      <c r="G489" s="16"/>
      <c r="H489" s="16"/>
      <c r="I489" s="16"/>
      <c r="J489" s="17" t="str">
        <f aca="false">IF(COUNT(G489:I489)=0,"",G489*55+H489*50+I489*50)</f>
        <v/>
      </c>
      <c r="K489" s="16"/>
      <c r="L489" s="16"/>
      <c r="M489" s="16"/>
      <c r="N489" s="17" t="str">
        <f aca="false">IF(COUNT(K489:M489)=0,"",MAX(K489:M489))</f>
        <v/>
      </c>
      <c r="O489" s="18" t="str">
        <f aca="false">IF(N489="","",IF(N489&gt;=7,"Sin pliometría ni velocidad. Solo isométricos, movilidad y tren superior. Valoración médica",IF(N489&gt;=4,"Sin pliometría el lunes. Sentadilla española 5x45 s","Sesión normal")))</f>
        <v/>
      </c>
      <c r="P489" s="16"/>
      <c r="Q489" s="16"/>
    </row>
    <row r="490" customFormat="false" ht="15" hidden="false" customHeight="false" outlineLevel="0" collapsed="false">
      <c r="A490" s="13" t="n">
        <v>35</v>
      </c>
      <c r="B490" s="14" t="n">
        <v>46510</v>
      </c>
      <c r="C490" s="13" t="s">
        <v>104</v>
      </c>
      <c r="D490" s="13" t="s">
        <v>105</v>
      </c>
      <c r="E490" s="13" t="n">
        <v>4</v>
      </c>
      <c r="F490" s="15" t="str">
        <f aca="false">Jugadores!$B$14</f>
        <v>Jugador 10</v>
      </c>
      <c r="G490" s="16"/>
      <c r="H490" s="16"/>
      <c r="I490" s="16"/>
      <c r="J490" s="17" t="str">
        <f aca="false">IF(COUNT(G490:I490)=0,"",G490*55+H490*50+I490*50)</f>
        <v/>
      </c>
      <c r="K490" s="16"/>
      <c r="L490" s="16"/>
      <c r="M490" s="16"/>
      <c r="N490" s="17" t="str">
        <f aca="false">IF(COUNT(K490:M490)=0,"",MAX(K490:M490))</f>
        <v/>
      </c>
      <c r="O490" s="18" t="str">
        <f aca="false">IF(N490="","",IF(N490&gt;=7,"Sin pliometría ni velocidad. Solo isométricos, movilidad y tren superior. Valoración médica",IF(N490&gt;=4,"Sin pliometría el lunes. Sentadilla española 5x45 s","Sesión normal")))</f>
        <v/>
      </c>
      <c r="P490" s="16"/>
      <c r="Q490" s="16"/>
    </row>
    <row r="491" customFormat="false" ht="15" hidden="false" customHeight="false" outlineLevel="0" collapsed="false">
      <c r="A491" s="13" t="n">
        <v>35</v>
      </c>
      <c r="B491" s="14" t="n">
        <v>46510</v>
      </c>
      <c r="C491" s="13" t="s">
        <v>104</v>
      </c>
      <c r="D491" s="13" t="s">
        <v>105</v>
      </c>
      <c r="E491" s="13" t="n">
        <v>4</v>
      </c>
      <c r="F491" s="15" t="str">
        <f aca="false">Jugadores!$B$15</f>
        <v>Jugador 11</v>
      </c>
      <c r="G491" s="16"/>
      <c r="H491" s="16"/>
      <c r="I491" s="16"/>
      <c r="J491" s="17" t="str">
        <f aca="false">IF(COUNT(G491:I491)=0,"",G491*55+H491*50+I491*50)</f>
        <v/>
      </c>
      <c r="K491" s="16"/>
      <c r="L491" s="16"/>
      <c r="M491" s="16"/>
      <c r="N491" s="17" t="str">
        <f aca="false">IF(COUNT(K491:M491)=0,"",MAX(K491:M491))</f>
        <v/>
      </c>
      <c r="O491" s="18" t="str">
        <f aca="false">IF(N491="","",IF(N491&gt;=7,"Sin pliometría ni velocidad. Solo isométricos, movilidad y tren superior. Valoración médica",IF(N491&gt;=4,"Sin pliometría el lunes. Sentadilla española 5x45 s","Sesión normal")))</f>
        <v/>
      </c>
      <c r="P491" s="16"/>
      <c r="Q491" s="16"/>
    </row>
    <row r="492" customFormat="false" ht="15" hidden="false" customHeight="false" outlineLevel="0" collapsed="false">
      <c r="A492" s="13" t="n">
        <v>35</v>
      </c>
      <c r="B492" s="14" t="n">
        <v>46510</v>
      </c>
      <c r="C492" s="13" t="s">
        <v>104</v>
      </c>
      <c r="D492" s="13" t="s">
        <v>105</v>
      </c>
      <c r="E492" s="13" t="n">
        <v>4</v>
      </c>
      <c r="F492" s="15" t="str">
        <f aca="false">Jugadores!$B$16</f>
        <v>Jugador 12</v>
      </c>
      <c r="G492" s="16"/>
      <c r="H492" s="16"/>
      <c r="I492" s="16"/>
      <c r="J492" s="17" t="str">
        <f aca="false">IF(COUNT(G492:I492)=0,"",G492*55+H492*50+I492*50)</f>
        <v/>
      </c>
      <c r="K492" s="16"/>
      <c r="L492" s="16"/>
      <c r="M492" s="16"/>
      <c r="N492" s="17" t="str">
        <f aca="false">IF(COUNT(K492:M492)=0,"",MAX(K492:M492))</f>
        <v/>
      </c>
      <c r="O492" s="18" t="str">
        <f aca="false">IF(N492="","",IF(N492&gt;=7,"Sin pliometría ni velocidad. Solo isométricos, movilidad y tren superior. Valoración médica",IF(N492&gt;=4,"Sin pliometría el lunes. Sentadilla española 5x45 s","Sesión normal")))</f>
        <v/>
      </c>
      <c r="P492" s="16"/>
      <c r="Q492" s="16"/>
    </row>
    <row r="493" customFormat="false" ht="15" hidden="false" customHeight="false" outlineLevel="0" collapsed="false">
      <c r="A493" s="13" t="n">
        <v>35</v>
      </c>
      <c r="B493" s="14" t="n">
        <v>46510</v>
      </c>
      <c r="C493" s="13" t="s">
        <v>104</v>
      </c>
      <c r="D493" s="13" t="s">
        <v>105</v>
      </c>
      <c r="E493" s="13" t="n">
        <v>4</v>
      </c>
      <c r="F493" s="15" t="str">
        <f aca="false">Jugadores!$B$17</f>
        <v>Jugador 13</v>
      </c>
      <c r="G493" s="16"/>
      <c r="H493" s="16"/>
      <c r="I493" s="16"/>
      <c r="J493" s="17" t="str">
        <f aca="false">IF(COUNT(G493:I493)=0,"",G493*55+H493*50+I493*50)</f>
        <v/>
      </c>
      <c r="K493" s="16"/>
      <c r="L493" s="16"/>
      <c r="M493" s="16"/>
      <c r="N493" s="17" t="str">
        <f aca="false">IF(COUNT(K493:M493)=0,"",MAX(K493:M493))</f>
        <v/>
      </c>
      <c r="O493" s="18" t="str">
        <f aca="false">IF(N493="","",IF(N493&gt;=7,"Sin pliometría ni velocidad. Solo isométricos, movilidad y tren superior. Valoración médica",IF(N493&gt;=4,"Sin pliometría el lunes. Sentadilla española 5x45 s","Sesión normal")))</f>
        <v/>
      </c>
      <c r="P493" s="16"/>
      <c r="Q493" s="16"/>
    </row>
    <row r="494" customFormat="false" ht="15" hidden="false" customHeight="false" outlineLevel="0" collapsed="false">
      <c r="A494" s="13" t="n">
        <v>35</v>
      </c>
      <c r="B494" s="14" t="n">
        <v>46510</v>
      </c>
      <c r="C494" s="13" t="s">
        <v>104</v>
      </c>
      <c r="D494" s="13" t="s">
        <v>105</v>
      </c>
      <c r="E494" s="13" t="n">
        <v>4</v>
      </c>
      <c r="F494" s="15" t="str">
        <f aca="false">Jugadores!$B$18</f>
        <v>Jugador 14</v>
      </c>
      <c r="G494" s="16"/>
      <c r="H494" s="16"/>
      <c r="I494" s="16"/>
      <c r="J494" s="17" t="str">
        <f aca="false">IF(COUNT(G494:I494)=0,"",G494*55+H494*50+I494*50)</f>
        <v/>
      </c>
      <c r="K494" s="16"/>
      <c r="L494" s="16"/>
      <c r="M494" s="16"/>
      <c r="N494" s="17" t="str">
        <f aca="false">IF(COUNT(K494:M494)=0,"",MAX(K494:M494))</f>
        <v/>
      </c>
      <c r="O494" s="18" t="str">
        <f aca="false">IF(N494="","",IF(N494&gt;=7,"Sin pliometría ni velocidad. Solo isométricos, movilidad y tren superior. Valoración médica",IF(N494&gt;=4,"Sin pliometría el lunes. Sentadilla española 5x45 s","Sesión normal")))</f>
        <v/>
      </c>
      <c r="P494" s="16"/>
      <c r="Q494" s="16"/>
    </row>
    <row r="495" customFormat="false" ht="15" hidden="false" customHeight="false" outlineLevel="0" collapsed="false">
      <c r="A495" s="13" t="n">
        <v>36</v>
      </c>
      <c r="B495" s="14" t="n">
        <v>46517</v>
      </c>
      <c r="C495" s="13" t="s">
        <v>106</v>
      </c>
      <c r="D495" s="13" t="s">
        <v>107</v>
      </c>
      <c r="E495" s="13" t="n">
        <v>4</v>
      </c>
      <c r="F495" s="15" t="str">
        <f aca="false">Jugadores!$B$5</f>
        <v>Jugador 1</v>
      </c>
      <c r="G495" s="16"/>
      <c r="H495" s="16"/>
      <c r="I495" s="16"/>
      <c r="J495" s="17" t="str">
        <f aca="false">IF(COUNT(G495:I495)=0,"",G495*55+H495*50+I495*50)</f>
        <v/>
      </c>
      <c r="K495" s="16"/>
      <c r="L495" s="16"/>
      <c r="M495" s="16"/>
      <c r="N495" s="17" t="str">
        <f aca="false">IF(COUNT(K495:M495)=0,"",MAX(K495:M495))</f>
        <v/>
      </c>
      <c r="O495" s="18" t="str">
        <f aca="false">IF(N495="","",IF(N495&gt;=7,"Sin pliometría ni velocidad. Solo isométricos, movilidad y tren superior. Valoración médica",IF(N495&gt;=4,"Sin pliometría el lunes. Sentadilla española 5x45 s","Sesión normal")))</f>
        <v/>
      </c>
      <c r="P495" s="16"/>
      <c r="Q495" s="16"/>
    </row>
    <row r="496" customFormat="false" ht="15" hidden="false" customHeight="false" outlineLevel="0" collapsed="false">
      <c r="A496" s="13" t="n">
        <v>36</v>
      </c>
      <c r="B496" s="14" t="n">
        <v>46517</v>
      </c>
      <c r="C496" s="13" t="s">
        <v>106</v>
      </c>
      <c r="D496" s="13" t="s">
        <v>107</v>
      </c>
      <c r="E496" s="13" t="n">
        <v>4</v>
      </c>
      <c r="F496" s="15" t="str">
        <f aca="false">Jugadores!$B$6</f>
        <v>Jugador 2</v>
      </c>
      <c r="G496" s="16"/>
      <c r="H496" s="16"/>
      <c r="I496" s="16"/>
      <c r="J496" s="17" t="str">
        <f aca="false">IF(COUNT(G496:I496)=0,"",G496*55+H496*50+I496*50)</f>
        <v/>
      </c>
      <c r="K496" s="16"/>
      <c r="L496" s="16"/>
      <c r="M496" s="16"/>
      <c r="N496" s="17" t="str">
        <f aca="false">IF(COUNT(K496:M496)=0,"",MAX(K496:M496))</f>
        <v/>
      </c>
      <c r="O496" s="18" t="str">
        <f aca="false">IF(N496="","",IF(N496&gt;=7,"Sin pliometría ni velocidad. Solo isométricos, movilidad y tren superior. Valoración médica",IF(N496&gt;=4,"Sin pliometría el lunes. Sentadilla española 5x45 s","Sesión normal")))</f>
        <v/>
      </c>
      <c r="P496" s="16"/>
      <c r="Q496" s="16"/>
    </row>
    <row r="497" customFormat="false" ht="15" hidden="false" customHeight="false" outlineLevel="0" collapsed="false">
      <c r="A497" s="13" t="n">
        <v>36</v>
      </c>
      <c r="B497" s="14" t="n">
        <v>46517</v>
      </c>
      <c r="C497" s="13" t="s">
        <v>106</v>
      </c>
      <c r="D497" s="13" t="s">
        <v>107</v>
      </c>
      <c r="E497" s="13" t="n">
        <v>4</v>
      </c>
      <c r="F497" s="15" t="str">
        <f aca="false">Jugadores!$B$7</f>
        <v>Jugador 3</v>
      </c>
      <c r="G497" s="16"/>
      <c r="H497" s="16"/>
      <c r="I497" s="16"/>
      <c r="J497" s="17" t="str">
        <f aca="false">IF(COUNT(G497:I497)=0,"",G497*55+H497*50+I497*50)</f>
        <v/>
      </c>
      <c r="K497" s="16"/>
      <c r="L497" s="16"/>
      <c r="M497" s="16"/>
      <c r="N497" s="17" t="str">
        <f aca="false">IF(COUNT(K497:M497)=0,"",MAX(K497:M497))</f>
        <v/>
      </c>
      <c r="O497" s="18" t="str">
        <f aca="false">IF(N497="","",IF(N497&gt;=7,"Sin pliometría ni velocidad. Solo isométricos, movilidad y tren superior. Valoración médica",IF(N497&gt;=4,"Sin pliometría el lunes. Sentadilla española 5x45 s","Sesión normal")))</f>
        <v/>
      </c>
      <c r="P497" s="16"/>
      <c r="Q497" s="16"/>
    </row>
    <row r="498" customFormat="false" ht="15" hidden="false" customHeight="false" outlineLevel="0" collapsed="false">
      <c r="A498" s="13" t="n">
        <v>36</v>
      </c>
      <c r="B498" s="14" t="n">
        <v>46517</v>
      </c>
      <c r="C498" s="13" t="s">
        <v>106</v>
      </c>
      <c r="D498" s="13" t="s">
        <v>107</v>
      </c>
      <c r="E498" s="13" t="n">
        <v>4</v>
      </c>
      <c r="F498" s="15" t="str">
        <f aca="false">Jugadores!$B$8</f>
        <v>Jugador 4</v>
      </c>
      <c r="G498" s="16"/>
      <c r="H498" s="16"/>
      <c r="I498" s="16"/>
      <c r="J498" s="17" t="str">
        <f aca="false">IF(COUNT(G498:I498)=0,"",G498*55+H498*50+I498*50)</f>
        <v/>
      </c>
      <c r="K498" s="16"/>
      <c r="L498" s="16"/>
      <c r="M498" s="16"/>
      <c r="N498" s="17" t="str">
        <f aca="false">IF(COUNT(K498:M498)=0,"",MAX(K498:M498))</f>
        <v/>
      </c>
      <c r="O498" s="18" t="str">
        <f aca="false">IF(N498="","",IF(N498&gt;=7,"Sin pliometría ni velocidad. Solo isométricos, movilidad y tren superior. Valoración médica",IF(N498&gt;=4,"Sin pliometría el lunes. Sentadilla española 5x45 s","Sesión normal")))</f>
        <v/>
      </c>
      <c r="P498" s="16"/>
      <c r="Q498" s="16"/>
    </row>
    <row r="499" customFormat="false" ht="15" hidden="false" customHeight="false" outlineLevel="0" collapsed="false">
      <c r="A499" s="13" t="n">
        <v>36</v>
      </c>
      <c r="B499" s="14" t="n">
        <v>46517</v>
      </c>
      <c r="C499" s="13" t="s">
        <v>106</v>
      </c>
      <c r="D499" s="13" t="s">
        <v>107</v>
      </c>
      <c r="E499" s="13" t="n">
        <v>4</v>
      </c>
      <c r="F499" s="15" t="str">
        <f aca="false">Jugadores!$B$9</f>
        <v>Jugador 5</v>
      </c>
      <c r="G499" s="16"/>
      <c r="H499" s="16"/>
      <c r="I499" s="16"/>
      <c r="J499" s="17" t="str">
        <f aca="false">IF(COUNT(G499:I499)=0,"",G499*55+H499*50+I499*50)</f>
        <v/>
      </c>
      <c r="K499" s="16"/>
      <c r="L499" s="16"/>
      <c r="M499" s="16"/>
      <c r="N499" s="17" t="str">
        <f aca="false">IF(COUNT(K499:M499)=0,"",MAX(K499:M499))</f>
        <v/>
      </c>
      <c r="O499" s="18" t="str">
        <f aca="false">IF(N499="","",IF(N499&gt;=7,"Sin pliometría ni velocidad. Solo isométricos, movilidad y tren superior. Valoración médica",IF(N499&gt;=4,"Sin pliometría el lunes. Sentadilla española 5x45 s","Sesión normal")))</f>
        <v/>
      </c>
      <c r="P499" s="16"/>
      <c r="Q499" s="16"/>
    </row>
    <row r="500" customFormat="false" ht="15" hidden="false" customHeight="false" outlineLevel="0" collapsed="false">
      <c r="A500" s="13" t="n">
        <v>36</v>
      </c>
      <c r="B500" s="14" t="n">
        <v>46517</v>
      </c>
      <c r="C500" s="13" t="s">
        <v>106</v>
      </c>
      <c r="D500" s="13" t="s">
        <v>107</v>
      </c>
      <c r="E500" s="13" t="n">
        <v>4</v>
      </c>
      <c r="F500" s="15" t="str">
        <f aca="false">Jugadores!$B$10</f>
        <v>Jugador 6</v>
      </c>
      <c r="G500" s="16"/>
      <c r="H500" s="16"/>
      <c r="I500" s="16"/>
      <c r="J500" s="17" t="str">
        <f aca="false">IF(COUNT(G500:I500)=0,"",G500*55+H500*50+I500*50)</f>
        <v/>
      </c>
      <c r="K500" s="16"/>
      <c r="L500" s="16"/>
      <c r="M500" s="16"/>
      <c r="N500" s="17" t="str">
        <f aca="false">IF(COUNT(K500:M500)=0,"",MAX(K500:M500))</f>
        <v/>
      </c>
      <c r="O500" s="18" t="str">
        <f aca="false">IF(N500="","",IF(N500&gt;=7,"Sin pliometría ni velocidad. Solo isométricos, movilidad y tren superior. Valoración médica",IF(N500&gt;=4,"Sin pliometría el lunes. Sentadilla española 5x45 s","Sesión normal")))</f>
        <v/>
      </c>
      <c r="P500" s="16"/>
      <c r="Q500" s="16"/>
    </row>
    <row r="501" customFormat="false" ht="15" hidden="false" customHeight="false" outlineLevel="0" collapsed="false">
      <c r="A501" s="13" t="n">
        <v>36</v>
      </c>
      <c r="B501" s="14" t="n">
        <v>46517</v>
      </c>
      <c r="C501" s="13" t="s">
        <v>106</v>
      </c>
      <c r="D501" s="13" t="s">
        <v>107</v>
      </c>
      <c r="E501" s="13" t="n">
        <v>4</v>
      </c>
      <c r="F501" s="15" t="str">
        <f aca="false">Jugadores!$B$11</f>
        <v>Jugador 7</v>
      </c>
      <c r="G501" s="16"/>
      <c r="H501" s="16"/>
      <c r="I501" s="16"/>
      <c r="J501" s="17" t="str">
        <f aca="false">IF(COUNT(G501:I501)=0,"",G501*55+H501*50+I501*50)</f>
        <v/>
      </c>
      <c r="K501" s="16"/>
      <c r="L501" s="16"/>
      <c r="M501" s="16"/>
      <c r="N501" s="17" t="str">
        <f aca="false">IF(COUNT(K501:M501)=0,"",MAX(K501:M501))</f>
        <v/>
      </c>
      <c r="O501" s="18" t="str">
        <f aca="false">IF(N501="","",IF(N501&gt;=7,"Sin pliometría ni velocidad. Solo isométricos, movilidad y tren superior. Valoración médica",IF(N501&gt;=4,"Sin pliometría el lunes. Sentadilla española 5x45 s","Sesión normal")))</f>
        <v/>
      </c>
      <c r="P501" s="16"/>
      <c r="Q501" s="16"/>
    </row>
    <row r="502" customFormat="false" ht="15" hidden="false" customHeight="false" outlineLevel="0" collapsed="false">
      <c r="A502" s="13" t="n">
        <v>36</v>
      </c>
      <c r="B502" s="14" t="n">
        <v>46517</v>
      </c>
      <c r="C502" s="13" t="s">
        <v>106</v>
      </c>
      <c r="D502" s="13" t="s">
        <v>107</v>
      </c>
      <c r="E502" s="13" t="n">
        <v>4</v>
      </c>
      <c r="F502" s="15" t="str">
        <f aca="false">Jugadores!$B$12</f>
        <v>Jugador 8</v>
      </c>
      <c r="G502" s="16"/>
      <c r="H502" s="16"/>
      <c r="I502" s="16"/>
      <c r="J502" s="17" t="str">
        <f aca="false">IF(COUNT(G502:I502)=0,"",G502*55+H502*50+I502*50)</f>
        <v/>
      </c>
      <c r="K502" s="16"/>
      <c r="L502" s="16"/>
      <c r="M502" s="16"/>
      <c r="N502" s="17" t="str">
        <f aca="false">IF(COUNT(K502:M502)=0,"",MAX(K502:M502))</f>
        <v/>
      </c>
      <c r="O502" s="18" t="str">
        <f aca="false">IF(N502="","",IF(N502&gt;=7,"Sin pliometría ni velocidad. Solo isométricos, movilidad y tren superior. Valoración médica",IF(N502&gt;=4,"Sin pliometría el lunes. Sentadilla española 5x45 s","Sesión normal")))</f>
        <v/>
      </c>
      <c r="P502" s="16"/>
      <c r="Q502" s="16"/>
    </row>
    <row r="503" customFormat="false" ht="15" hidden="false" customHeight="false" outlineLevel="0" collapsed="false">
      <c r="A503" s="13" t="n">
        <v>36</v>
      </c>
      <c r="B503" s="14" t="n">
        <v>46517</v>
      </c>
      <c r="C503" s="13" t="s">
        <v>106</v>
      </c>
      <c r="D503" s="13" t="s">
        <v>107</v>
      </c>
      <c r="E503" s="13" t="n">
        <v>4</v>
      </c>
      <c r="F503" s="15" t="str">
        <f aca="false">Jugadores!$B$13</f>
        <v>Jugador 9</v>
      </c>
      <c r="G503" s="16"/>
      <c r="H503" s="16"/>
      <c r="I503" s="16"/>
      <c r="J503" s="17" t="str">
        <f aca="false">IF(COUNT(G503:I503)=0,"",G503*55+H503*50+I503*50)</f>
        <v/>
      </c>
      <c r="K503" s="16"/>
      <c r="L503" s="16"/>
      <c r="M503" s="16"/>
      <c r="N503" s="17" t="str">
        <f aca="false">IF(COUNT(K503:M503)=0,"",MAX(K503:M503))</f>
        <v/>
      </c>
      <c r="O503" s="18" t="str">
        <f aca="false">IF(N503="","",IF(N503&gt;=7,"Sin pliometría ni velocidad. Solo isométricos, movilidad y tren superior. Valoración médica",IF(N503&gt;=4,"Sin pliometría el lunes. Sentadilla española 5x45 s","Sesión normal")))</f>
        <v/>
      </c>
      <c r="P503" s="16"/>
      <c r="Q503" s="16"/>
    </row>
    <row r="504" customFormat="false" ht="15" hidden="false" customHeight="false" outlineLevel="0" collapsed="false">
      <c r="A504" s="13" t="n">
        <v>36</v>
      </c>
      <c r="B504" s="14" t="n">
        <v>46517</v>
      </c>
      <c r="C504" s="13" t="s">
        <v>106</v>
      </c>
      <c r="D504" s="13" t="s">
        <v>107</v>
      </c>
      <c r="E504" s="13" t="n">
        <v>4</v>
      </c>
      <c r="F504" s="15" t="str">
        <f aca="false">Jugadores!$B$14</f>
        <v>Jugador 10</v>
      </c>
      <c r="G504" s="16"/>
      <c r="H504" s="16"/>
      <c r="I504" s="16"/>
      <c r="J504" s="17" t="str">
        <f aca="false">IF(COUNT(G504:I504)=0,"",G504*55+H504*50+I504*50)</f>
        <v/>
      </c>
      <c r="K504" s="16"/>
      <c r="L504" s="16"/>
      <c r="M504" s="16"/>
      <c r="N504" s="17" t="str">
        <f aca="false">IF(COUNT(K504:M504)=0,"",MAX(K504:M504))</f>
        <v/>
      </c>
      <c r="O504" s="18" t="str">
        <f aca="false">IF(N504="","",IF(N504&gt;=7,"Sin pliometría ni velocidad. Solo isométricos, movilidad y tren superior. Valoración médica",IF(N504&gt;=4,"Sin pliometría el lunes. Sentadilla española 5x45 s","Sesión normal")))</f>
        <v/>
      </c>
      <c r="P504" s="16"/>
      <c r="Q504" s="16"/>
    </row>
    <row r="505" customFormat="false" ht="15" hidden="false" customHeight="false" outlineLevel="0" collapsed="false">
      <c r="A505" s="13" t="n">
        <v>36</v>
      </c>
      <c r="B505" s="14" t="n">
        <v>46517</v>
      </c>
      <c r="C505" s="13" t="s">
        <v>106</v>
      </c>
      <c r="D505" s="13" t="s">
        <v>107</v>
      </c>
      <c r="E505" s="13" t="n">
        <v>4</v>
      </c>
      <c r="F505" s="15" t="str">
        <f aca="false">Jugadores!$B$15</f>
        <v>Jugador 11</v>
      </c>
      <c r="G505" s="16"/>
      <c r="H505" s="16"/>
      <c r="I505" s="16"/>
      <c r="J505" s="17" t="str">
        <f aca="false">IF(COUNT(G505:I505)=0,"",G505*55+H505*50+I505*50)</f>
        <v/>
      </c>
      <c r="K505" s="16"/>
      <c r="L505" s="16"/>
      <c r="M505" s="16"/>
      <c r="N505" s="17" t="str">
        <f aca="false">IF(COUNT(K505:M505)=0,"",MAX(K505:M505))</f>
        <v/>
      </c>
      <c r="O505" s="18" t="str">
        <f aca="false">IF(N505="","",IF(N505&gt;=7,"Sin pliometría ni velocidad. Solo isométricos, movilidad y tren superior. Valoración médica",IF(N505&gt;=4,"Sin pliometría el lunes. Sentadilla española 5x45 s","Sesión normal")))</f>
        <v/>
      </c>
      <c r="P505" s="16"/>
      <c r="Q505" s="16"/>
    </row>
    <row r="506" customFormat="false" ht="15" hidden="false" customHeight="false" outlineLevel="0" collapsed="false">
      <c r="A506" s="13" t="n">
        <v>36</v>
      </c>
      <c r="B506" s="14" t="n">
        <v>46517</v>
      </c>
      <c r="C506" s="13" t="s">
        <v>106</v>
      </c>
      <c r="D506" s="13" t="s">
        <v>107</v>
      </c>
      <c r="E506" s="13" t="n">
        <v>4</v>
      </c>
      <c r="F506" s="15" t="str">
        <f aca="false">Jugadores!$B$16</f>
        <v>Jugador 12</v>
      </c>
      <c r="G506" s="16"/>
      <c r="H506" s="16"/>
      <c r="I506" s="16"/>
      <c r="J506" s="17" t="str">
        <f aca="false">IF(COUNT(G506:I506)=0,"",G506*55+H506*50+I506*50)</f>
        <v/>
      </c>
      <c r="K506" s="16"/>
      <c r="L506" s="16"/>
      <c r="M506" s="16"/>
      <c r="N506" s="17" t="str">
        <f aca="false">IF(COUNT(K506:M506)=0,"",MAX(K506:M506))</f>
        <v/>
      </c>
      <c r="O506" s="18" t="str">
        <f aca="false">IF(N506="","",IF(N506&gt;=7,"Sin pliometría ni velocidad. Solo isométricos, movilidad y tren superior. Valoración médica",IF(N506&gt;=4,"Sin pliometría el lunes. Sentadilla española 5x45 s","Sesión normal")))</f>
        <v/>
      </c>
      <c r="P506" s="16"/>
      <c r="Q506" s="16"/>
    </row>
    <row r="507" customFormat="false" ht="15" hidden="false" customHeight="false" outlineLevel="0" collapsed="false">
      <c r="A507" s="13" t="n">
        <v>36</v>
      </c>
      <c r="B507" s="14" t="n">
        <v>46517</v>
      </c>
      <c r="C507" s="13" t="s">
        <v>106</v>
      </c>
      <c r="D507" s="13" t="s">
        <v>107</v>
      </c>
      <c r="E507" s="13" t="n">
        <v>4</v>
      </c>
      <c r="F507" s="15" t="str">
        <f aca="false">Jugadores!$B$17</f>
        <v>Jugador 13</v>
      </c>
      <c r="G507" s="16"/>
      <c r="H507" s="16"/>
      <c r="I507" s="16"/>
      <c r="J507" s="17" t="str">
        <f aca="false">IF(COUNT(G507:I507)=0,"",G507*55+H507*50+I507*50)</f>
        <v/>
      </c>
      <c r="K507" s="16"/>
      <c r="L507" s="16"/>
      <c r="M507" s="16"/>
      <c r="N507" s="17" t="str">
        <f aca="false">IF(COUNT(K507:M507)=0,"",MAX(K507:M507))</f>
        <v/>
      </c>
      <c r="O507" s="18" t="str">
        <f aca="false">IF(N507="","",IF(N507&gt;=7,"Sin pliometría ni velocidad. Solo isométricos, movilidad y tren superior. Valoración médica",IF(N507&gt;=4,"Sin pliometría el lunes. Sentadilla española 5x45 s","Sesión normal")))</f>
        <v/>
      </c>
      <c r="P507" s="16"/>
      <c r="Q507" s="16"/>
    </row>
    <row r="508" customFormat="false" ht="15" hidden="false" customHeight="false" outlineLevel="0" collapsed="false">
      <c r="A508" s="13" t="n">
        <v>36</v>
      </c>
      <c r="B508" s="14" t="n">
        <v>46517</v>
      </c>
      <c r="C508" s="13" t="s">
        <v>106</v>
      </c>
      <c r="D508" s="13" t="s">
        <v>107</v>
      </c>
      <c r="E508" s="13" t="n">
        <v>4</v>
      </c>
      <c r="F508" s="15" t="str">
        <f aca="false">Jugadores!$B$18</f>
        <v>Jugador 14</v>
      </c>
      <c r="G508" s="16"/>
      <c r="H508" s="16"/>
      <c r="I508" s="16"/>
      <c r="J508" s="17" t="str">
        <f aca="false">IF(COUNT(G508:I508)=0,"",G508*55+H508*50+I508*50)</f>
        <v/>
      </c>
      <c r="K508" s="16"/>
      <c r="L508" s="16"/>
      <c r="M508" s="16"/>
      <c r="N508" s="17" t="str">
        <f aca="false">IF(COUNT(K508:M508)=0,"",MAX(K508:M508))</f>
        <v/>
      </c>
      <c r="O508" s="18" t="str">
        <f aca="false">IF(N508="","",IF(N508&gt;=7,"Sin pliometría ni velocidad. Solo isométricos, movilidad y tren superior. Valoración médica",IF(N508&gt;=4,"Sin pliometría el lunes. Sentadilla española 5x45 s","Sesión normal")))</f>
        <v/>
      </c>
      <c r="P508" s="16"/>
      <c r="Q508" s="16"/>
    </row>
    <row r="509" customFormat="false" ht="15" hidden="false" customHeight="false" outlineLevel="0" collapsed="false">
      <c r="A509" s="13" t="n">
        <v>37</v>
      </c>
      <c r="B509" s="14" t="n">
        <v>46524</v>
      </c>
      <c r="C509" s="13" t="s">
        <v>106</v>
      </c>
      <c r="D509" s="13" t="s">
        <v>108</v>
      </c>
      <c r="E509" s="13" t="n">
        <v>4</v>
      </c>
      <c r="F509" s="15" t="str">
        <f aca="false">Jugadores!$B$5</f>
        <v>Jugador 1</v>
      </c>
      <c r="G509" s="16"/>
      <c r="H509" s="16"/>
      <c r="I509" s="16"/>
      <c r="J509" s="17" t="str">
        <f aca="false">IF(COUNT(G509:I509)=0,"",G509*55+H509*50+I509*50)</f>
        <v/>
      </c>
      <c r="K509" s="16"/>
      <c r="L509" s="16"/>
      <c r="M509" s="16"/>
      <c r="N509" s="17" t="str">
        <f aca="false">IF(COUNT(K509:M509)=0,"",MAX(K509:M509))</f>
        <v/>
      </c>
      <c r="O509" s="18" t="str">
        <f aca="false">IF(N509="","",IF(N509&gt;=7,"Sin pliometría ni velocidad. Solo isométricos, movilidad y tren superior. Valoración médica",IF(N509&gt;=4,"Sin pliometría el lunes. Sentadilla española 5x45 s","Sesión normal")))</f>
        <v/>
      </c>
      <c r="P509" s="16"/>
      <c r="Q509" s="16"/>
    </row>
    <row r="510" customFormat="false" ht="15" hidden="false" customHeight="false" outlineLevel="0" collapsed="false">
      <c r="A510" s="13" t="n">
        <v>37</v>
      </c>
      <c r="B510" s="14" t="n">
        <v>46524</v>
      </c>
      <c r="C510" s="13" t="s">
        <v>106</v>
      </c>
      <c r="D510" s="13" t="s">
        <v>108</v>
      </c>
      <c r="E510" s="13" t="n">
        <v>4</v>
      </c>
      <c r="F510" s="15" t="str">
        <f aca="false">Jugadores!$B$6</f>
        <v>Jugador 2</v>
      </c>
      <c r="G510" s="16"/>
      <c r="H510" s="16"/>
      <c r="I510" s="16"/>
      <c r="J510" s="17" t="str">
        <f aca="false">IF(COUNT(G510:I510)=0,"",G510*55+H510*50+I510*50)</f>
        <v/>
      </c>
      <c r="K510" s="16"/>
      <c r="L510" s="16"/>
      <c r="M510" s="16"/>
      <c r="N510" s="17" t="str">
        <f aca="false">IF(COUNT(K510:M510)=0,"",MAX(K510:M510))</f>
        <v/>
      </c>
      <c r="O510" s="18" t="str">
        <f aca="false">IF(N510="","",IF(N510&gt;=7,"Sin pliometría ni velocidad. Solo isométricos, movilidad y tren superior. Valoración médica",IF(N510&gt;=4,"Sin pliometría el lunes. Sentadilla española 5x45 s","Sesión normal")))</f>
        <v/>
      </c>
      <c r="P510" s="16"/>
      <c r="Q510" s="16"/>
    </row>
    <row r="511" customFormat="false" ht="15" hidden="false" customHeight="false" outlineLevel="0" collapsed="false">
      <c r="A511" s="13" t="n">
        <v>37</v>
      </c>
      <c r="B511" s="14" t="n">
        <v>46524</v>
      </c>
      <c r="C511" s="13" t="s">
        <v>106</v>
      </c>
      <c r="D511" s="13" t="s">
        <v>108</v>
      </c>
      <c r="E511" s="13" t="n">
        <v>4</v>
      </c>
      <c r="F511" s="15" t="str">
        <f aca="false">Jugadores!$B$7</f>
        <v>Jugador 3</v>
      </c>
      <c r="G511" s="16"/>
      <c r="H511" s="16"/>
      <c r="I511" s="16"/>
      <c r="J511" s="17" t="str">
        <f aca="false">IF(COUNT(G511:I511)=0,"",G511*55+H511*50+I511*50)</f>
        <v/>
      </c>
      <c r="K511" s="16"/>
      <c r="L511" s="16"/>
      <c r="M511" s="16"/>
      <c r="N511" s="17" t="str">
        <f aca="false">IF(COUNT(K511:M511)=0,"",MAX(K511:M511))</f>
        <v/>
      </c>
      <c r="O511" s="18" t="str">
        <f aca="false">IF(N511="","",IF(N511&gt;=7,"Sin pliometría ni velocidad. Solo isométricos, movilidad y tren superior. Valoración médica",IF(N511&gt;=4,"Sin pliometría el lunes. Sentadilla española 5x45 s","Sesión normal")))</f>
        <v/>
      </c>
      <c r="P511" s="16"/>
      <c r="Q511" s="16"/>
    </row>
    <row r="512" customFormat="false" ht="15" hidden="false" customHeight="false" outlineLevel="0" collapsed="false">
      <c r="A512" s="13" t="n">
        <v>37</v>
      </c>
      <c r="B512" s="14" t="n">
        <v>46524</v>
      </c>
      <c r="C512" s="13" t="s">
        <v>106</v>
      </c>
      <c r="D512" s="13" t="s">
        <v>108</v>
      </c>
      <c r="E512" s="13" t="n">
        <v>4</v>
      </c>
      <c r="F512" s="15" t="str">
        <f aca="false">Jugadores!$B$8</f>
        <v>Jugador 4</v>
      </c>
      <c r="G512" s="16"/>
      <c r="H512" s="16"/>
      <c r="I512" s="16"/>
      <c r="J512" s="17" t="str">
        <f aca="false">IF(COUNT(G512:I512)=0,"",G512*55+H512*50+I512*50)</f>
        <v/>
      </c>
      <c r="K512" s="16"/>
      <c r="L512" s="16"/>
      <c r="M512" s="16"/>
      <c r="N512" s="17" t="str">
        <f aca="false">IF(COUNT(K512:M512)=0,"",MAX(K512:M512))</f>
        <v/>
      </c>
      <c r="O512" s="18" t="str">
        <f aca="false">IF(N512="","",IF(N512&gt;=7,"Sin pliometría ni velocidad. Solo isométricos, movilidad y tren superior. Valoración médica",IF(N512&gt;=4,"Sin pliometría el lunes. Sentadilla española 5x45 s","Sesión normal")))</f>
        <v/>
      </c>
      <c r="P512" s="16"/>
      <c r="Q512" s="16"/>
    </row>
    <row r="513" customFormat="false" ht="15" hidden="false" customHeight="false" outlineLevel="0" collapsed="false">
      <c r="A513" s="13" t="n">
        <v>37</v>
      </c>
      <c r="B513" s="14" t="n">
        <v>46524</v>
      </c>
      <c r="C513" s="13" t="s">
        <v>106</v>
      </c>
      <c r="D513" s="13" t="s">
        <v>108</v>
      </c>
      <c r="E513" s="13" t="n">
        <v>4</v>
      </c>
      <c r="F513" s="15" t="str">
        <f aca="false">Jugadores!$B$9</f>
        <v>Jugador 5</v>
      </c>
      <c r="G513" s="16"/>
      <c r="H513" s="16"/>
      <c r="I513" s="16"/>
      <c r="J513" s="17" t="str">
        <f aca="false">IF(COUNT(G513:I513)=0,"",G513*55+H513*50+I513*50)</f>
        <v/>
      </c>
      <c r="K513" s="16"/>
      <c r="L513" s="16"/>
      <c r="M513" s="16"/>
      <c r="N513" s="17" t="str">
        <f aca="false">IF(COUNT(K513:M513)=0,"",MAX(K513:M513))</f>
        <v/>
      </c>
      <c r="O513" s="18" t="str">
        <f aca="false">IF(N513="","",IF(N513&gt;=7,"Sin pliometría ni velocidad. Solo isométricos, movilidad y tren superior. Valoración médica",IF(N513&gt;=4,"Sin pliometría el lunes. Sentadilla española 5x45 s","Sesión normal")))</f>
        <v/>
      </c>
      <c r="P513" s="16"/>
      <c r="Q513" s="16"/>
    </row>
    <row r="514" customFormat="false" ht="15" hidden="false" customHeight="false" outlineLevel="0" collapsed="false">
      <c r="A514" s="13" t="n">
        <v>37</v>
      </c>
      <c r="B514" s="14" t="n">
        <v>46524</v>
      </c>
      <c r="C514" s="13" t="s">
        <v>106</v>
      </c>
      <c r="D514" s="13" t="s">
        <v>108</v>
      </c>
      <c r="E514" s="13" t="n">
        <v>4</v>
      </c>
      <c r="F514" s="15" t="str">
        <f aca="false">Jugadores!$B$10</f>
        <v>Jugador 6</v>
      </c>
      <c r="G514" s="16"/>
      <c r="H514" s="16"/>
      <c r="I514" s="16"/>
      <c r="J514" s="17" t="str">
        <f aca="false">IF(COUNT(G514:I514)=0,"",G514*55+H514*50+I514*50)</f>
        <v/>
      </c>
      <c r="K514" s="16"/>
      <c r="L514" s="16"/>
      <c r="M514" s="16"/>
      <c r="N514" s="17" t="str">
        <f aca="false">IF(COUNT(K514:M514)=0,"",MAX(K514:M514))</f>
        <v/>
      </c>
      <c r="O514" s="18" t="str">
        <f aca="false">IF(N514="","",IF(N514&gt;=7,"Sin pliometría ni velocidad. Solo isométricos, movilidad y tren superior. Valoración médica",IF(N514&gt;=4,"Sin pliometría el lunes. Sentadilla española 5x45 s","Sesión normal")))</f>
        <v/>
      </c>
      <c r="P514" s="16"/>
      <c r="Q514" s="16"/>
    </row>
    <row r="515" customFormat="false" ht="15" hidden="false" customHeight="false" outlineLevel="0" collapsed="false">
      <c r="A515" s="13" t="n">
        <v>37</v>
      </c>
      <c r="B515" s="14" t="n">
        <v>46524</v>
      </c>
      <c r="C515" s="13" t="s">
        <v>106</v>
      </c>
      <c r="D515" s="13" t="s">
        <v>108</v>
      </c>
      <c r="E515" s="13" t="n">
        <v>4</v>
      </c>
      <c r="F515" s="15" t="str">
        <f aca="false">Jugadores!$B$11</f>
        <v>Jugador 7</v>
      </c>
      <c r="G515" s="16"/>
      <c r="H515" s="16"/>
      <c r="I515" s="16"/>
      <c r="J515" s="17" t="str">
        <f aca="false">IF(COUNT(G515:I515)=0,"",G515*55+H515*50+I515*50)</f>
        <v/>
      </c>
      <c r="K515" s="16"/>
      <c r="L515" s="16"/>
      <c r="M515" s="16"/>
      <c r="N515" s="17" t="str">
        <f aca="false">IF(COUNT(K515:M515)=0,"",MAX(K515:M515))</f>
        <v/>
      </c>
      <c r="O515" s="18" t="str">
        <f aca="false">IF(N515="","",IF(N515&gt;=7,"Sin pliometría ni velocidad. Solo isométricos, movilidad y tren superior. Valoración médica",IF(N515&gt;=4,"Sin pliometría el lunes. Sentadilla española 5x45 s","Sesión normal")))</f>
        <v/>
      </c>
      <c r="P515" s="16"/>
      <c r="Q515" s="16"/>
    </row>
    <row r="516" customFormat="false" ht="15" hidden="false" customHeight="false" outlineLevel="0" collapsed="false">
      <c r="A516" s="13" t="n">
        <v>37</v>
      </c>
      <c r="B516" s="14" t="n">
        <v>46524</v>
      </c>
      <c r="C516" s="13" t="s">
        <v>106</v>
      </c>
      <c r="D516" s="13" t="s">
        <v>108</v>
      </c>
      <c r="E516" s="13" t="n">
        <v>4</v>
      </c>
      <c r="F516" s="15" t="str">
        <f aca="false">Jugadores!$B$12</f>
        <v>Jugador 8</v>
      </c>
      <c r="G516" s="16"/>
      <c r="H516" s="16"/>
      <c r="I516" s="16"/>
      <c r="J516" s="17" t="str">
        <f aca="false">IF(COUNT(G516:I516)=0,"",G516*55+H516*50+I516*50)</f>
        <v/>
      </c>
      <c r="K516" s="16"/>
      <c r="L516" s="16"/>
      <c r="M516" s="16"/>
      <c r="N516" s="17" t="str">
        <f aca="false">IF(COUNT(K516:M516)=0,"",MAX(K516:M516))</f>
        <v/>
      </c>
      <c r="O516" s="18" t="str">
        <f aca="false">IF(N516="","",IF(N516&gt;=7,"Sin pliometría ni velocidad. Solo isométricos, movilidad y tren superior. Valoración médica",IF(N516&gt;=4,"Sin pliometría el lunes. Sentadilla española 5x45 s","Sesión normal")))</f>
        <v/>
      </c>
      <c r="P516" s="16"/>
      <c r="Q516" s="16"/>
    </row>
    <row r="517" customFormat="false" ht="15" hidden="false" customHeight="false" outlineLevel="0" collapsed="false">
      <c r="A517" s="13" t="n">
        <v>37</v>
      </c>
      <c r="B517" s="14" t="n">
        <v>46524</v>
      </c>
      <c r="C517" s="13" t="s">
        <v>106</v>
      </c>
      <c r="D517" s="13" t="s">
        <v>108</v>
      </c>
      <c r="E517" s="13" t="n">
        <v>4</v>
      </c>
      <c r="F517" s="15" t="str">
        <f aca="false">Jugadores!$B$13</f>
        <v>Jugador 9</v>
      </c>
      <c r="G517" s="16"/>
      <c r="H517" s="16"/>
      <c r="I517" s="16"/>
      <c r="J517" s="17" t="str">
        <f aca="false">IF(COUNT(G517:I517)=0,"",G517*55+H517*50+I517*50)</f>
        <v/>
      </c>
      <c r="K517" s="16"/>
      <c r="L517" s="16"/>
      <c r="M517" s="16"/>
      <c r="N517" s="17" t="str">
        <f aca="false">IF(COUNT(K517:M517)=0,"",MAX(K517:M517))</f>
        <v/>
      </c>
      <c r="O517" s="18" t="str">
        <f aca="false">IF(N517="","",IF(N517&gt;=7,"Sin pliometría ni velocidad. Solo isométricos, movilidad y tren superior. Valoración médica",IF(N517&gt;=4,"Sin pliometría el lunes. Sentadilla española 5x45 s","Sesión normal")))</f>
        <v/>
      </c>
      <c r="P517" s="16"/>
      <c r="Q517" s="16"/>
    </row>
    <row r="518" customFormat="false" ht="15" hidden="false" customHeight="false" outlineLevel="0" collapsed="false">
      <c r="A518" s="13" t="n">
        <v>37</v>
      </c>
      <c r="B518" s="14" t="n">
        <v>46524</v>
      </c>
      <c r="C518" s="13" t="s">
        <v>106</v>
      </c>
      <c r="D518" s="13" t="s">
        <v>108</v>
      </c>
      <c r="E518" s="13" t="n">
        <v>4</v>
      </c>
      <c r="F518" s="15" t="str">
        <f aca="false">Jugadores!$B$14</f>
        <v>Jugador 10</v>
      </c>
      <c r="G518" s="16"/>
      <c r="H518" s="16"/>
      <c r="I518" s="16"/>
      <c r="J518" s="17" t="str">
        <f aca="false">IF(COUNT(G518:I518)=0,"",G518*55+H518*50+I518*50)</f>
        <v/>
      </c>
      <c r="K518" s="16"/>
      <c r="L518" s="16"/>
      <c r="M518" s="16"/>
      <c r="N518" s="17" t="str">
        <f aca="false">IF(COUNT(K518:M518)=0,"",MAX(K518:M518))</f>
        <v/>
      </c>
      <c r="O518" s="18" t="str">
        <f aca="false">IF(N518="","",IF(N518&gt;=7,"Sin pliometría ni velocidad. Solo isométricos, movilidad y tren superior. Valoración médica",IF(N518&gt;=4,"Sin pliometría el lunes. Sentadilla española 5x45 s","Sesión normal")))</f>
        <v/>
      </c>
      <c r="P518" s="16"/>
      <c r="Q518" s="16"/>
    </row>
    <row r="519" customFormat="false" ht="15" hidden="false" customHeight="false" outlineLevel="0" collapsed="false">
      <c r="A519" s="13" t="n">
        <v>37</v>
      </c>
      <c r="B519" s="14" t="n">
        <v>46524</v>
      </c>
      <c r="C519" s="13" t="s">
        <v>106</v>
      </c>
      <c r="D519" s="13" t="s">
        <v>108</v>
      </c>
      <c r="E519" s="13" t="n">
        <v>4</v>
      </c>
      <c r="F519" s="15" t="str">
        <f aca="false">Jugadores!$B$15</f>
        <v>Jugador 11</v>
      </c>
      <c r="G519" s="16"/>
      <c r="H519" s="16"/>
      <c r="I519" s="16"/>
      <c r="J519" s="17" t="str">
        <f aca="false">IF(COUNT(G519:I519)=0,"",G519*55+H519*50+I519*50)</f>
        <v/>
      </c>
      <c r="K519" s="16"/>
      <c r="L519" s="16"/>
      <c r="M519" s="16"/>
      <c r="N519" s="17" t="str">
        <f aca="false">IF(COUNT(K519:M519)=0,"",MAX(K519:M519))</f>
        <v/>
      </c>
      <c r="O519" s="18" t="str">
        <f aca="false">IF(N519="","",IF(N519&gt;=7,"Sin pliometría ni velocidad. Solo isométricos, movilidad y tren superior. Valoración médica",IF(N519&gt;=4,"Sin pliometría el lunes. Sentadilla española 5x45 s","Sesión normal")))</f>
        <v/>
      </c>
      <c r="P519" s="16"/>
      <c r="Q519" s="16"/>
    </row>
    <row r="520" customFormat="false" ht="15" hidden="false" customHeight="false" outlineLevel="0" collapsed="false">
      <c r="A520" s="13" t="n">
        <v>37</v>
      </c>
      <c r="B520" s="14" t="n">
        <v>46524</v>
      </c>
      <c r="C520" s="13" t="s">
        <v>106</v>
      </c>
      <c r="D520" s="13" t="s">
        <v>108</v>
      </c>
      <c r="E520" s="13" t="n">
        <v>4</v>
      </c>
      <c r="F520" s="15" t="str">
        <f aca="false">Jugadores!$B$16</f>
        <v>Jugador 12</v>
      </c>
      <c r="G520" s="16"/>
      <c r="H520" s="16"/>
      <c r="I520" s="16"/>
      <c r="J520" s="17" t="str">
        <f aca="false">IF(COUNT(G520:I520)=0,"",G520*55+H520*50+I520*50)</f>
        <v/>
      </c>
      <c r="K520" s="16"/>
      <c r="L520" s="16"/>
      <c r="M520" s="16"/>
      <c r="N520" s="17" t="str">
        <f aca="false">IF(COUNT(K520:M520)=0,"",MAX(K520:M520))</f>
        <v/>
      </c>
      <c r="O520" s="18" t="str">
        <f aca="false">IF(N520="","",IF(N520&gt;=7,"Sin pliometría ni velocidad. Solo isométricos, movilidad y tren superior. Valoración médica",IF(N520&gt;=4,"Sin pliometría el lunes. Sentadilla española 5x45 s","Sesión normal")))</f>
        <v/>
      </c>
      <c r="P520" s="16"/>
      <c r="Q520" s="16"/>
    </row>
    <row r="521" customFormat="false" ht="15" hidden="false" customHeight="false" outlineLevel="0" collapsed="false">
      <c r="A521" s="13" t="n">
        <v>37</v>
      </c>
      <c r="B521" s="14" t="n">
        <v>46524</v>
      </c>
      <c r="C521" s="13" t="s">
        <v>106</v>
      </c>
      <c r="D521" s="13" t="s">
        <v>108</v>
      </c>
      <c r="E521" s="13" t="n">
        <v>4</v>
      </c>
      <c r="F521" s="15" t="str">
        <f aca="false">Jugadores!$B$17</f>
        <v>Jugador 13</v>
      </c>
      <c r="G521" s="16"/>
      <c r="H521" s="16"/>
      <c r="I521" s="16"/>
      <c r="J521" s="17" t="str">
        <f aca="false">IF(COUNT(G521:I521)=0,"",G521*55+H521*50+I521*50)</f>
        <v/>
      </c>
      <c r="K521" s="16"/>
      <c r="L521" s="16"/>
      <c r="M521" s="16"/>
      <c r="N521" s="17" t="str">
        <f aca="false">IF(COUNT(K521:M521)=0,"",MAX(K521:M521))</f>
        <v/>
      </c>
      <c r="O521" s="18" t="str">
        <f aca="false">IF(N521="","",IF(N521&gt;=7,"Sin pliometría ni velocidad. Solo isométricos, movilidad y tren superior. Valoración médica",IF(N521&gt;=4,"Sin pliometría el lunes. Sentadilla española 5x45 s","Sesión normal")))</f>
        <v/>
      </c>
      <c r="P521" s="16"/>
      <c r="Q521" s="16"/>
    </row>
    <row r="522" customFormat="false" ht="15" hidden="false" customHeight="false" outlineLevel="0" collapsed="false">
      <c r="A522" s="13" t="n">
        <v>37</v>
      </c>
      <c r="B522" s="14" t="n">
        <v>46524</v>
      </c>
      <c r="C522" s="13" t="s">
        <v>106</v>
      </c>
      <c r="D522" s="13" t="s">
        <v>108</v>
      </c>
      <c r="E522" s="13" t="n">
        <v>4</v>
      </c>
      <c r="F522" s="15" t="str">
        <f aca="false">Jugadores!$B$18</f>
        <v>Jugador 14</v>
      </c>
      <c r="G522" s="16"/>
      <c r="H522" s="16"/>
      <c r="I522" s="16"/>
      <c r="J522" s="17" t="str">
        <f aca="false">IF(COUNT(G522:I522)=0,"",G522*55+H522*50+I522*50)</f>
        <v/>
      </c>
      <c r="K522" s="16"/>
      <c r="L522" s="16"/>
      <c r="M522" s="16"/>
      <c r="N522" s="17" t="str">
        <f aca="false">IF(COUNT(K522:M522)=0,"",MAX(K522:M522))</f>
        <v/>
      </c>
      <c r="O522" s="18" t="str">
        <f aca="false">IF(N522="","",IF(N522&gt;=7,"Sin pliometría ni velocidad. Solo isométricos, movilidad y tren superior. Valoración médica",IF(N522&gt;=4,"Sin pliometría el lunes. Sentadilla española 5x45 s","Sesión normal")))</f>
        <v/>
      </c>
      <c r="P522" s="16"/>
      <c r="Q522" s="16"/>
    </row>
    <row r="523" customFormat="false" ht="15" hidden="false" customHeight="false" outlineLevel="0" collapsed="false">
      <c r="A523" s="13" t="n">
        <v>38</v>
      </c>
      <c r="B523" s="14" t="n">
        <v>46531</v>
      </c>
      <c r="C523" s="13" t="s">
        <v>106</v>
      </c>
      <c r="D523" s="13" t="s">
        <v>109</v>
      </c>
      <c r="E523" s="13" t="n">
        <v>3</v>
      </c>
      <c r="F523" s="15" t="str">
        <f aca="false">Jugadores!$B$5</f>
        <v>Jugador 1</v>
      </c>
      <c r="G523" s="16"/>
      <c r="H523" s="16"/>
      <c r="I523" s="16"/>
      <c r="J523" s="17" t="str">
        <f aca="false">IF(COUNT(G523:I523)=0,"",G523*55+H523*50+I523*50)</f>
        <v/>
      </c>
      <c r="K523" s="16"/>
      <c r="L523" s="16"/>
      <c r="M523" s="16"/>
      <c r="N523" s="17" t="str">
        <f aca="false">IF(COUNT(K523:M523)=0,"",MAX(K523:M523))</f>
        <v/>
      </c>
      <c r="O523" s="18" t="str">
        <f aca="false">IF(N523="","",IF(N523&gt;=7,"Sin pliometría ni velocidad. Solo isométricos, movilidad y tren superior. Valoración médica",IF(N523&gt;=4,"Sin pliometría el lunes. Sentadilla española 5x45 s","Sesión normal")))</f>
        <v/>
      </c>
      <c r="P523" s="16"/>
      <c r="Q523" s="16"/>
    </row>
    <row r="524" customFormat="false" ht="15" hidden="false" customHeight="false" outlineLevel="0" collapsed="false">
      <c r="A524" s="13" t="n">
        <v>38</v>
      </c>
      <c r="B524" s="14" t="n">
        <v>46531</v>
      </c>
      <c r="C524" s="13" t="s">
        <v>106</v>
      </c>
      <c r="D524" s="13" t="s">
        <v>109</v>
      </c>
      <c r="E524" s="13" t="n">
        <v>3</v>
      </c>
      <c r="F524" s="15" t="str">
        <f aca="false">Jugadores!$B$6</f>
        <v>Jugador 2</v>
      </c>
      <c r="G524" s="16"/>
      <c r="H524" s="16"/>
      <c r="I524" s="16"/>
      <c r="J524" s="17" t="str">
        <f aca="false">IF(COUNT(G524:I524)=0,"",G524*55+H524*50+I524*50)</f>
        <v/>
      </c>
      <c r="K524" s="16"/>
      <c r="L524" s="16"/>
      <c r="M524" s="16"/>
      <c r="N524" s="17" t="str">
        <f aca="false">IF(COUNT(K524:M524)=0,"",MAX(K524:M524))</f>
        <v/>
      </c>
      <c r="O524" s="18" t="str">
        <f aca="false">IF(N524="","",IF(N524&gt;=7,"Sin pliometría ni velocidad. Solo isométricos, movilidad y tren superior. Valoración médica",IF(N524&gt;=4,"Sin pliometría el lunes. Sentadilla española 5x45 s","Sesión normal")))</f>
        <v/>
      </c>
      <c r="P524" s="16"/>
      <c r="Q524" s="16"/>
    </row>
    <row r="525" customFormat="false" ht="15" hidden="false" customHeight="false" outlineLevel="0" collapsed="false">
      <c r="A525" s="13" t="n">
        <v>38</v>
      </c>
      <c r="B525" s="14" t="n">
        <v>46531</v>
      </c>
      <c r="C525" s="13" t="s">
        <v>106</v>
      </c>
      <c r="D525" s="13" t="s">
        <v>109</v>
      </c>
      <c r="E525" s="13" t="n">
        <v>3</v>
      </c>
      <c r="F525" s="15" t="str">
        <f aca="false">Jugadores!$B$7</f>
        <v>Jugador 3</v>
      </c>
      <c r="G525" s="16"/>
      <c r="H525" s="16"/>
      <c r="I525" s="16"/>
      <c r="J525" s="17" t="str">
        <f aca="false">IF(COUNT(G525:I525)=0,"",G525*55+H525*50+I525*50)</f>
        <v/>
      </c>
      <c r="K525" s="16"/>
      <c r="L525" s="16"/>
      <c r="M525" s="16"/>
      <c r="N525" s="17" t="str">
        <f aca="false">IF(COUNT(K525:M525)=0,"",MAX(K525:M525))</f>
        <v/>
      </c>
      <c r="O525" s="18" t="str">
        <f aca="false">IF(N525="","",IF(N525&gt;=7,"Sin pliometría ni velocidad. Solo isométricos, movilidad y tren superior. Valoración médica",IF(N525&gt;=4,"Sin pliometría el lunes. Sentadilla española 5x45 s","Sesión normal")))</f>
        <v/>
      </c>
      <c r="P525" s="16"/>
      <c r="Q525" s="16"/>
    </row>
    <row r="526" customFormat="false" ht="15" hidden="false" customHeight="false" outlineLevel="0" collapsed="false">
      <c r="A526" s="13" t="n">
        <v>38</v>
      </c>
      <c r="B526" s="14" t="n">
        <v>46531</v>
      </c>
      <c r="C526" s="13" t="s">
        <v>106</v>
      </c>
      <c r="D526" s="13" t="s">
        <v>109</v>
      </c>
      <c r="E526" s="13" t="n">
        <v>3</v>
      </c>
      <c r="F526" s="15" t="str">
        <f aca="false">Jugadores!$B$8</f>
        <v>Jugador 4</v>
      </c>
      <c r="G526" s="16"/>
      <c r="H526" s="16"/>
      <c r="I526" s="16"/>
      <c r="J526" s="17" t="str">
        <f aca="false">IF(COUNT(G526:I526)=0,"",G526*55+H526*50+I526*50)</f>
        <v/>
      </c>
      <c r="K526" s="16"/>
      <c r="L526" s="16"/>
      <c r="M526" s="16"/>
      <c r="N526" s="17" t="str">
        <f aca="false">IF(COUNT(K526:M526)=0,"",MAX(K526:M526))</f>
        <v/>
      </c>
      <c r="O526" s="18" t="str">
        <f aca="false">IF(N526="","",IF(N526&gt;=7,"Sin pliometría ni velocidad. Solo isométricos, movilidad y tren superior. Valoración médica",IF(N526&gt;=4,"Sin pliometría el lunes. Sentadilla española 5x45 s","Sesión normal")))</f>
        <v/>
      </c>
      <c r="P526" s="16"/>
      <c r="Q526" s="16"/>
    </row>
    <row r="527" customFormat="false" ht="15" hidden="false" customHeight="false" outlineLevel="0" collapsed="false">
      <c r="A527" s="13" t="n">
        <v>38</v>
      </c>
      <c r="B527" s="14" t="n">
        <v>46531</v>
      </c>
      <c r="C527" s="13" t="s">
        <v>106</v>
      </c>
      <c r="D527" s="13" t="s">
        <v>109</v>
      </c>
      <c r="E527" s="13" t="n">
        <v>3</v>
      </c>
      <c r="F527" s="15" t="str">
        <f aca="false">Jugadores!$B$9</f>
        <v>Jugador 5</v>
      </c>
      <c r="G527" s="16"/>
      <c r="H527" s="16"/>
      <c r="I527" s="16"/>
      <c r="J527" s="17" t="str">
        <f aca="false">IF(COUNT(G527:I527)=0,"",G527*55+H527*50+I527*50)</f>
        <v/>
      </c>
      <c r="K527" s="16"/>
      <c r="L527" s="16"/>
      <c r="M527" s="16"/>
      <c r="N527" s="17" t="str">
        <f aca="false">IF(COUNT(K527:M527)=0,"",MAX(K527:M527))</f>
        <v/>
      </c>
      <c r="O527" s="18" t="str">
        <f aca="false">IF(N527="","",IF(N527&gt;=7,"Sin pliometría ni velocidad. Solo isométricos, movilidad y tren superior. Valoración médica",IF(N527&gt;=4,"Sin pliometría el lunes. Sentadilla española 5x45 s","Sesión normal")))</f>
        <v/>
      </c>
      <c r="P527" s="16"/>
      <c r="Q527" s="16"/>
    </row>
    <row r="528" customFormat="false" ht="15" hidden="false" customHeight="false" outlineLevel="0" collapsed="false">
      <c r="A528" s="13" t="n">
        <v>38</v>
      </c>
      <c r="B528" s="14" t="n">
        <v>46531</v>
      </c>
      <c r="C528" s="13" t="s">
        <v>106</v>
      </c>
      <c r="D528" s="13" t="s">
        <v>109</v>
      </c>
      <c r="E528" s="13" t="n">
        <v>3</v>
      </c>
      <c r="F528" s="15" t="str">
        <f aca="false">Jugadores!$B$10</f>
        <v>Jugador 6</v>
      </c>
      <c r="G528" s="16"/>
      <c r="H528" s="16"/>
      <c r="I528" s="16"/>
      <c r="J528" s="17" t="str">
        <f aca="false">IF(COUNT(G528:I528)=0,"",G528*55+H528*50+I528*50)</f>
        <v/>
      </c>
      <c r="K528" s="16"/>
      <c r="L528" s="16"/>
      <c r="M528" s="16"/>
      <c r="N528" s="17" t="str">
        <f aca="false">IF(COUNT(K528:M528)=0,"",MAX(K528:M528))</f>
        <v/>
      </c>
      <c r="O528" s="18" t="str">
        <f aca="false">IF(N528="","",IF(N528&gt;=7,"Sin pliometría ni velocidad. Solo isométricos, movilidad y tren superior. Valoración médica",IF(N528&gt;=4,"Sin pliometría el lunes. Sentadilla española 5x45 s","Sesión normal")))</f>
        <v/>
      </c>
      <c r="P528" s="16"/>
      <c r="Q528" s="16"/>
    </row>
    <row r="529" customFormat="false" ht="15" hidden="false" customHeight="false" outlineLevel="0" collapsed="false">
      <c r="A529" s="13" t="n">
        <v>38</v>
      </c>
      <c r="B529" s="14" t="n">
        <v>46531</v>
      </c>
      <c r="C529" s="13" t="s">
        <v>106</v>
      </c>
      <c r="D529" s="13" t="s">
        <v>109</v>
      </c>
      <c r="E529" s="13" t="n">
        <v>3</v>
      </c>
      <c r="F529" s="15" t="str">
        <f aca="false">Jugadores!$B$11</f>
        <v>Jugador 7</v>
      </c>
      <c r="G529" s="16"/>
      <c r="H529" s="16"/>
      <c r="I529" s="16"/>
      <c r="J529" s="17" t="str">
        <f aca="false">IF(COUNT(G529:I529)=0,"",G529*55+H529*50+I529*50)</f>
        <v/>
      </c>
      <c r="K529" s="16"/>
      <c r="L529" s="16"/>
      <c r="M529" s="16"/>
      <c r="N529" s="17" t="str">
        <f aca="false">IF(COUNT(K529:M529)=0,"",MAX(K529:M529))</f>
        <v/>
      </c>
      <c r="O529" s="18" t="str">
        <f aca="false">IF(N529="","",IF(N529&gt;=7,"Sin pliometría ni velocidad. Solo isométricos, movilidad y tren superior. Valoración médica",IF(N529&gt;=4,"Sin pliometría el lunes. Sentadilla española 5x45 s","Sesión normal")))</f>
        <v/>
      </c>
      <c r="P529" s="16"/>
      <c r="Q529" s="16"/>
    </row>
    <row r="530" customFormat="false" ht="15" hidden="false" customHeight="false" outlineLevel="0" collapsed="false">
      <c r="A530" s="13" t="n">
        <v>38</v>
      </c>
      <c r="B530" s="14" t="n">
        <v>46531</v>
      </c>
      <c r="C530" s="13" t="s">
        <v>106</v>
      </c>
      <c r="D530" s="13" t="s">
        <v>109</v>
      </c>
      <c r="E530" s="13" t="n">
        <v>3</v>
      </c>
      <c r="F530" s="15" t="str">
        <f aca="false">Jugadores!$B$12</f>
        <v>Jugador 8</v>
      </c>
      <c r="G530" s="16"/>
      <c r="H530" s="16"/>
      <c r="I530" s="16"/>
      <c r="J530" s="17" t="str">
        <f aca="false">IF(COUNT(G530:I530)=0,"",G530*55+H530*50+I530*50)</f>
        <v/>
      </c>
      <c r="K530" s="16"/>
      <c r="L530" s="16"/>
      <c r="M530" s="16"/>
      <c r="N530" s="17" t="str">
        <f aca="false">IF(COUNT(K530:M530)=0,"",MAX(K530:M530))</f>
        <v/>
      </c>
      <c r="O530" s="18" t="str">
        <f aca="false">IF(N530="","",IF(N530&gt;=7,"Sin pliometría ni velocidad. Solo isométricos, movilidad y tren superior. Valoración médica",IF(N530&gt;=4,"Sin pliometría el lunes. Sentadilla española 5x45 s","Sesión normal")))</f>
        <v/>
      </c>
      <c r="P530" s="16"/>
      <c r="Q530" s="16"/>
    </row>
    <row r="531" customFormat="false" ht="15" hidden="false" customHeight="false" outlineLevel="0" collapsed="false">
      <c r="A531" s="13" t="n">
        <v>38</v>
      </c>
      <c r="B531" s="14" t="n">
        <v>46531</v>
      </c>
      <c r="C531" s="13" t="s">
        <v>106</v>
      </c>
      <c r="D531" s="13" t="s">
        <v>109</v>
      </c>
      <c r="E531" s="13" t="n">
        <v>3</v>
      </c>
      <c r="F531" s="15" t="str">
        <f aca="false">Jugadores!$B$13</f>
        <v>Jugador 9</v>
      </c>
      <c r="G531" s="16"/>
      <c r="H531" s="16"/>
      <c r="I531" s="16"/>
      <c r="J531" s="17" t="str">
        <f aca="false">IF(COUNT(G531:I531)=0,"",G531*55+H531*50+I531*50)</f>
        <v/>
      </c>
      <c r="K531" s="16"/>
      <c r="L531" s="16"/>
      <c r="M531" s="16"/>
      <c r="N531" s="17" t="str">
        <f aca="false">IF(COUNT(K531:M531)=0,"",MAX(K531:M531))</f>
        <v/>
      </c>
      <c r="O531" s="18" t="str">
        <f aca="false">IF(N531="","",IF(N531&gt;=7,"Sin pliometría ni velocidad. Solo isométricos, movilidad y tren superior. Valoración médica",IF(N531&gt;=4,"Sin pliometría el lunes. Sentadilla española 5x45 s","Sesión normal")))</f>
        <v/>
      </c>
      <c r="P531" s="16"/>
      <c r="Q531" s="16"/>
    </row>
    <row r="532" customFormat="false" ht="15" hidden="false" customHeight="false" outlineLevel="0" collapsed="false">
      <c r="A532" s="13" t="n">
        <v>38</v>
      </c>
      <c r="B532" s="14" t="n">
        <v>46531</v>
      </c>
      <c r="C532" s="13" t="s">
        <v>106</v>
      </c>
      <c r="D532" s="13" t="s">
        <v>109</v>
      </c>
      <c r="E532" s="13" t="n">
        <v>3</v>
      </c>
      <c r="F532" s="15" t="str">
        <f aca="false">Jugadores!$B$14</f>
        <v>Jugador 10</v>
      </c>
      <c r="G532" s="16"/>
      <c r="H532" s="16"/>
      <c r="I532" s="16"/>
      <c r="J532" s="17" t="str">
        <f aca="false">IF(COUNT(G532:I532)=0,"",G532*55+H532*50+I532*50)</f>
        <v/>
      </c>
      <c r="K532" s="16"/>
      <c r="L532" s="16"/>
      <c r="M532" s="16"/>
      <c r="N532" s="17" t="str">
        <f aca="false">IF(COUNT(K532:M532)=0,"",MAX(K532:M532))</f>
        <v/>
      </c>
      <c r="O532" s="18" t="str">
        <f aca="false">IF(N532="","",IF(N532&gt;=7,"Sin pliometría ni velocidad. Solo isométricos, movilidad y tren superior. Valoración médica",IF(N532&gt;=4,"Sin pliometría el lunes. Sentadilla española 5x45 s","Sesión normal")))</f>
        <v/>
      </c>
      <c r="P532" s="16"/>
      <c r="Q532" s="16"/>
    </row>
    <row r="533" customFormat="false" ht="15" hidden="false" customHeight="false" outlineLevel="0" collapsed="false">
      <c r="A533" s="13" t="n">
        <v>38</v>
      </c>
      <c r="B533" s="14" t="n">
        <v>46531</v>
      </c>
      <c r="C533" s="13" t="s">
        <v>106</v>
      </c>
      <c r="D533" s="13" t="s">
        <v>109</v>
      </c>
      <c r="E533" s="13" t="n">
        <v>3</v>
      </c>
      <c r="F533" s="15" t="str">
        <f aca="false">Jugadores!$B$15</f>
        <v>Jugador 11</v>
      </c>
      <c r="G533" s="16"/>
      <c r="H533" s="16"/>
      <c r="I533" s="16"/>
      <c r="J533" s="17" t="str">
        <f aca="false">IF(COUNT(G533:I533)=0,"",G533*55+H533*50+I533*50)</f>
        <v/>
      </c>
      <c r="K533" s="16"/>
      <c r="L533" s="16"/>
      <c r="M533" s="16"/>
      <c r="N533" s="17" t="str">
        <f aca="false">IF(COUNT(K533:M533)=0,"",MAX(K533:M533))</f>
        <v/>
      </c>
      <c r="O533" s="18" t="str">
        <f aca="false">IF(N533="","",IF(N533&gt;=7,"Sin pliometría ni velocidad. Solo isométricos, movilidad y tren superior. Valoración médica",IF(N533&gt;=4,"Sin pliometría el lunes. Sentadilla española 5x45 s","Sesión normal")))</f>
        <v/>
      </c>
      <c r="P533" s="16"/>
      <c r="Q533" s="16"/>
    </row>
    <row r="534" customFormat="false" ht="15" hidden="false" customHeight="false" outlineLevel="0" collapsed="false">
      <c r="A534" s="13" t="n">
        <v>38</v>
      </c>
      <c r="B534" s="14" t="n">
        <v>46531</v>
      </c>
      <c r="C534" s="13" t="s">
        <v>106</v>
      </c>
      <c r="D534" s="13" t="s">
        <v>109</v>
      </c>
      <c r="E534" s="13" t="n">
        <v>3</v>
      </c>
      <c r="F534" s="15" t="str">
        <f aca="false">Jugadores!$B$16</f>
        <v>Jugador 12</v>
      </c>
      <c r="G534" s="16"/>
      <c r="H534" s="16"/>
      <c r="I534" s="16"/>
      <c r="J534" s="17" t="str">
        <f aca="false">IF(COUNT(G534:I534)=0,"",G534*55+H534*50+I534*50)</f>
        <v/>
      </c>
      <c r="K534" s="16"/>
      <c r="L534" s="16"/>
      <c r="M534" s="16"/>
      <c r="N534" s="17" t="str">
        <f aca="false">IF(COUNT(K534:M534)=0,"",MAX(K534:M534))</f>
        <v/>
      </c>
      <c r="O534" s="18" t="str">
        <f aca="false">IF(N534="","",IF(N534&gt;=7,"Sin pliometría ni velocidad. Solo isométricos, movilidad y tren superior. Valoración médica",IF(N534&gt;=4,"Sin pliometría el lunes. Sentadilla española 5x45 s","Sesión normal")))</f>
        <v/>
      </c>
      <c r="P534" s="16"/>
      <c r="Q534" s="16"/>
    </row>
    <row r="535" customFormat="false" ht="15" hidden="false" customHeight="false" outlineLevel="0" collapsed="false">
      <c r="A535" s="13" t="n">
        <v>38</v>
      </c>
      <c r="B535" s="14" t="n">
        <v>46531</v>
      </c>
      <c r="C535" s="13" t="s">
        <v>106</v>
      </c>
      <c r="D535" s="13" t="s">
        <v>109</v>
      </c>
      <c r="E535" s="13" t="n">
        <v>3</v>
      </c>
      <c r="F535" s="15" t="str">
        <f aca="false">Jugadores!$B$17</f>
        <v>Jugador 13</v>
      </c>
      <c r="G535" s="16"/>
      <c r="H535" s="16"/>
      <c r="I535" s="16"/>
      <c r="J535" s="17" t="str">
        <f aca="false">IF(COUNT(G535:I535)=0,"",G535*55+H535*50+I535*50)</f>
        <v/>
      </c>
      <c r="K535" s="16"/>
      <c r="L535" s="16"/>
      <c r="M535" s="16"/>
      <c r="N535" s="17" t="str">
        <f aca="false">IF(COUNT(K535:M535)=0,"",MAX(K535:M535))</f>
        <v/>
      </c>
      <c r="O535" s="18" t="str">
        <f aca="false">IF(N535="","",IF(N535&gt;=7,"Sin pliometría ni velocidad. Solo isométricos, movilidad y tren superior. Valoración médica",IF(N535&gt;=4,"Sin pliometría el lunes. Sentadilla española 5x45 s","Sesión normal")))</f>
        <v/>
      </c>
      <c r="P535" s="16"/>
      <c r="Q535" s="16"/>
    </row>
    <row r="536" customFormat="false" ht="15" hidden="false" customHeight="false" outlineLevel="0" collapsed="false">
      <c r="A536" s="13" t="n">
        <v>38</v>
      </c>
      <c r="B536" s="14" t="n">
        <v>46531</v>
      </c>
      <c r="C536" s="13" t="s">
        <v>106</v>
      </c>
      <c r="D536" s="13" t="s">
        <v>109</v>
      </c>
      <c r="E536" s="13" t="n">
        <v>3</v>
      </c>
      <c r="F536" s="15" t="str">
        <f aca="false">Jugadores!$B$18</f>
        <v>Jugador 14</v>
      </c>
      <c r="G536" s="16"/>
      <c r="H536" s="16"/>
      <c r="I536" s="16"/>
      <c r="J536" s="17" t="str">
        <f aca="false">IF(COUNT(G536:I536)=0,"",G536*55+H536*50+I536*50)</f>
        <v/>
      </c>
      <c r="K536" s="16"/>
      <c r="L536" s="16"/>
      <c r="M536" s="16"/>
      <c r="N536" s="17" t="str">
        <f aca="false">IF(COUNT(K536:M536)=0,"",MAX(K536:M536))</f>
        <v/>
      </c>
      <c r="O536" s="18" t="str">
        <f aca="false">IF(N536="","",IF(N536&gt;=7,"Sin pliometría ni velocidad. Solo isométricos, movilidad y tren superior. Valoración médica",IF(N536&gt;=4,"Sin pliometría el lunes. Sentadilla española 5x45 s","Sesión normal")))</f>
        <v/>
      </c>
      <c r="P536" s="16"/>
      <c r="Q536" s="16"/>
    </row>
    <row r="537" customFormat="false" ht="15" hidden="false" customHeight="false" outlineLevel="0" collapsed="false">
      <c r="A537" s="13" t="n">
        <v>39</v>
      </c>
      <c r="B537" s="14" t="n">
        <v>46538</v>
      </c>
      <c r="C537" s="13" t="s">
        <v>106</v>
      </c>
      <c r="D537" s="13" t="s">
        <v>110</v>
      </c>
      <c r="E537" s="13" t="n">
        <v>3</v>
      </c>
      <c r="F537" s="15" t="str">
        <f aca="false">Jugadores!$B$5</f>
        <v>Jugador 1</v>
      </c>
      <c r="G537" s="16"/>
      <c r="H537" s="16"/>
      <c r="I537" s="16"/>
      <c r="J537" s="17" t="str">
        <f aca="false">IF(COUNT(G537:I537)=0,"",G537*55+H537*50+I537*50)</f>
        <v/>
      </c>
      <c r="K537" s="16"/>
      <c r="L537" s="16"/>
      <c r="M537" s="16"/>
      <c r="N537" s="17" t="str">
        <f aca="false">IF(COUNT(K537:M537)=0,"",MAX(K537:M537))</f>
        <v/>
      </c>
      <c r="O537" s="18" t="str">
        <f aca="false">IF(N537="","",IF(N537&gt;=7,"Sin pliometría ni velocidad. Solo isométricos, movilidad y tren superior. Valoración médica",IF(N537&gt;=4,"Sin pliometría el lunes. Sentadilla española 5x45 s","Sesión normal")))</f>
        <v/>
      </c>
      <c r="P537" s="16"/>
      <c r="Q537" s="16"/>
    </row>
    <row r="538" customFormat="false" ht="15" hidden="false" customHeight="false" outlineLevel="0" collapsed="false">
      <c r="A538" s="13" t="n">
        <v>39</v>
      </c>
      <c r="B538" s="14" t="n">
        <v>46538</v>
      </c>
      <c r="C538" s="13" t="s">
        <v>106</v>
      </c>
      <c r="D538" s="13" t="s">
        <v>110</v>
      </c>
      <c r="E538" s="13" t="n">
        <v>3</v>
      </c>
      <c r="F538" s="15" t="str">
        <f aca="false">Jugadores!$B$6</f>
        <v>Jugador 2</v>
      </c>
      <c r="G538" s="16"/>
      <c r="H538" s="16"/>
      <c r="I538" s="16"/>
      <c r="J538" s="17" t="str">
        <f aca="false">IF(COUNT(G538:I538)=0,"",G538*55+H538*50+I538*50)</f>
        <v/>
      </c>
      <c r="K538" s="16"/>
      <c r="L538" s="16"/>
      <c r="M538" s="16"/>
      <c r="N538" s="17" t="str">
        <f aca="false">IF(COUNT(K538:M538)=0,"",MAX(K538:M538))</f>
        <v/>
      </c>
      <c r="O538" s="18" t="str">
        <f aca="false">IF(N538="","",IF(N538&gt;=7,"Sin pliometría ni velocidad. Solo isométricos, movilidad y tren superior. Valoración médica",IF(N538&gt;=4,"Sin pliometría el lunes. Sentadilla española 5x45 s","Sesión normal")))</f>
        <v/>
      </c>
      <c r="P538" s="16"/>
      <c r="Q538" s="16"/>
    </row>
    <row r="539" customFormat="false" ht="15" hidden="false" customHeight="false" outlineLevel="0" collapsed="false">
      <c r="A539" s="13" t="n">
        <v>39</v>
      </c>
      <c r="B539" s="14" t="n">
        <v>46538</v>
      </c>
      <c r="C539" s="13" t="s">
        <v>106</v>
      </c>
      <c r="D539" s="13" t="s">
        <v>110</v>
      </c>
      <c r="E539" s="13" t="n">
        <v>3</v>
      </c>
      <c r="F539" s="15" t="str">
        <f aca="false">Jugadores!$B$7</f>
        <v>Jugador 3</v>
      </c>
      <c r="G539" s="16"/>
      <c r="H539" s="16"/>
      <c r="I539" s="16"/>
      <c r="J539" s="17" t="str">
        <f aca="false">IF(COUNT(G539:I539)=0,"",G539*55+H539*50+I539*50)</f>
        <v/>
      </c>
      <c r="K539" s="16"/>
      <c r="L539" s="16"/>
      <c r="M539" s="16"/>
      <c r="N539" s="17" t="str">
        <f aca="false">IF(COUNT(K539:M539)=0,"",MAX(K539:M539))</f>
        <v/>
      </c>
      <c r="O539" s="18" t="str">
        <f aca="false">IF(N539="","",IF(N539&gt;=7,"Sin pliometría ni velocidad. Solo isométricos, movilidad y tren superior. Valoración médica",IF(N539&gt;=4,"Sin pliometría el lunes. Sentadilla española 5x45 s","Sesión normal")))</f>
        <v/>
      </c>
      <c r="P539" s="16"/>
      <c r="Q539" s="16"/>
    </row>
    <row r="540" customFormat="false" ht="15" hidden="false" customHeight="false" outlineLevel="0" collapsed="false">
      <c r="A540" s="13" t="n">
        <v>39</v>
      </c>
      <c r="B540" s="14" t="n">
        <v>46538</v>
      </c>
      <c r="C540" s="13" t="s">
        <v>106</v>
      </c>
      <c r="D540" s="13" t="s">
        <v>110</v>
      </c>
      <c r="E540" s="13" t="n">
        <v>3</v>
      </c>
      <c r="F540" s="15" t="str">
        <f aca="false">Jugadores!$B$8</f>
        <v>Jugador 4</v>
      </c>
      <c r="G540" s="16"/>
      <c r="H540" s="16"/>
      <c r="I540" s="16"/>
      <c r="J540" s="17" t="str">
        <f aca="false">IF(COUNT(G540:I540)=0,"",G540*55+H540*50+I540*50)</f>
        <v/>
      </c>
      <c r="K540" s="16"/>
      <c r="L540" s="16"/>
      <c r="M540" s="16"/>
      <c r="N540" s="17" t="str">
        <f aca="false">IF(COUNT(K540:M540)=0,"",MAX(K540:M540))</f>
        <v/>
      </c>
      <c r="O540" s="18" t="str">
        <f aca="false">IF(N540="","",IF(N540&gt;=7,"Sin pliometría ni velocidad. Solo isométricos, movilidad y tren superior. Valoración médica",IF(N540&gt;=4,"Sin pliometría el lunes. Sentadilla española 5x45 s","Sesión normal")))</f>
        <v/>
      </c>
      <c r="P540" s="16"/>
      <c r="Q540" s="16"/>
    </row>
    <row r="541" customFormat="false" ht="15" hidden="false" customHeight="false" outlineLevel="0" collapsed="false">
      <c r="A541" s="13" t="n">
        <v>39</v>
      </c>
      <c r="B541" s="14" t="n">
        <v>46538</v>
      </c>
      <c r="C541" s="13" t="s">
        <v>106</v>
      </c>
      <c r="D541" s="13" t="s">
        <v>110</v>
      </c>
      <c r="E541" s="13" t="n">
        <v>3</v>
      </c>
      <c r="F541" s="15" t="str">
        <f aca="false">Jugadores!$B$9</f>
        <v>Jugador 5</v>
      </c>
      <c r="G541" s="16"/>
      <c r="H541" s="16"/>
      <c r="I541" s="16"/>
      <c r="J541" s="17" t="str">
        <f aca="false">IF(COUNT(G541:I541)=0,"",G541*55+H541*50+I541*50)</f>
        <v/>
      </c>
      <c r="K541" s="16"/>
      <c r="L541" s="16"/>
      <c r="M541" s="16"/>
      <c r="N541" s="17" t="str">
        <f aca="false">IF(COUNT(K541:M541)=0,"",MAX(K541:M541))</f>
        <v/>
      </c>
      <c r="O541" s="18" t="str">
        <f aca="false">IF(N541="","",IF(N541&gt;=7,"Sin pliometría ni velocidad. Solo isométricos, movilidad y tren superior. Valoración médica",IF(N541&gt;=4,"Sin pliometría el lunes. Sentadilla española 5x45 s","Sesión normal")))</f>
        <v/>
      </c>
      <c r="P541" s="16"/>
      <c r="Q541" s="16"/>
    </row>
    <row r="542" customFormat="false" ht="15" hidden="false" customHeight="false" outlineLevel="0" collapsed="false">
      <c r="A542" s="13" t="n">
        <v>39</v>
      </c>
      <c r="B542" s="14" t="n">
        <v>46538</v>
      </c>
      <c r="C542" s="13" t="s">
        <v>106</v>
      </c>
      <c r="D542" s="13" t="s">
        <v>110</v>
      </c>
      <c r="E542" s="13" t="n">
        <v>3</v>
      </c>
      <c r="F542" s="15" t="str">
        <f aca="false">Jugadores!$B$10</f>
        <v>Jugador 6</v>
      </c>
      <c r="G542" s="16"/>
      <c r="H542" s="16"/>
      <c r="I542" s="16"/>
      <c r="J542" s="17" t="str">
        <f aca="false">IF(COUNT(G542:I542)=0,"",G542*55+H542*50+I542*50)</f>
        <v/>
      </c>
      <c r="K542" s="16"/>
      <c r="L542" s="16"/>
      <c r="M542" s="16"/>
      <c r="N542" s="17" t="str">
        <f aca="false">IF(COUNT(K542:M542)=0,"",MAX(K542:M542))</f>
        <v/>
      </c>
      <c r="O542" s="18" t="str">
        <f aca="false">IF(N542="","",IF(N542&gt;=7,"Sin pliometría ni velocidad. Solo isométricos, movilidad y tren superior. Valoración médica",IF(N542&gt;=4,"Sin pliometría el lunes. Sentadilla española 5x45 s","Sesión normal")))</f>
        <v/>
      </c>
      <c r="P542" s="16"/>
      <c r="Q542" s="16"/>
    </row>
    <row r="543" customFormat="false" ht="15" hidden="false" customHeight="false" outlineLevel="0" collapsed="false">
      <c r="A543" s="13" t="n">
        <v>39</v>
      </c>
      <c r="B543" s="14" t="n">
        <v>46538</v>
      </c>
      <c r="C543" s="13" t="s">
        <v>106</v>
      </c>
      <c r="D543" s="13" t="s">
        <v>110</v>
      </c>
      <c r="E543" s="13" t="n">
        <v>3</v>
      </c>
      <c r="F543" s="15" t="str">
        <f aca="false">Jugadores!$B$11</f>
        <v>Jugador 7</v>
      </c>
      <c r="G543" s="16"/>
      <c r="H543" s="16"/>
      <c r="I543" s="16"/>
      <c r="J543" s="17" t="str">
        <f aca="false">IF(COUNT(G543:I543)=0,"",G543*55+H543*50+I543*50)</f>
        <v/>
      </c>
      <c r="K543" s="16"/>
      <c r="L543" s="16"/>
      <c r="M543" s="16"/>
      <c r="N543" s="17" t="str">
        <f aca="false">IF(COUNT(K543:M543)=0,"",MAX(K543:M543))</f>
        <v/>
      </c>
      <c r="O543" s="18" t="str">
        <f aca="false">IF(N543="","",IF(N543&gt;=7,"Sin pliometría ni velocidad. Solo isométricos, movilidad y tren superior. Valoración médica",IF(N543&gt;=4,"Sin pliometría el lunes. Sentadilla española 5x45 s","Sesión normal")))</f>
        <v/>
      </c>
      <c r="P543" s="16"/>
      <c r="Q543" s="16"/>
    </row>
    <row r="544" customFormat="false" ht="15" hidden="false" customHeight="false" outlineLevel="0" collapsed="false">
      <c r="A544" s="13" t="n">
        <v>39</v>
      </c>
      <c r="B544" s="14" t="n">
        <v>46538</v>
      </c>
      <c r="C544" s="13" t="s">
        <v>106</v>
      </c>
      <c r="D544" s="13" t="s">
        <v>110</v>
      </c>
      <c r="E544" s="13" t="n">
        <v>3</v>
      </c>
      <c r="F544" s="15" t="str">
        <f aca="false">Jugadores!$B$12</f>
        <v>Jugador 8</v>
      </c>
      <c r="G544" s="16"/>
      <c r="H544" s="16"/>
      <c r="I544" s="16"/>
      <c r="J544" s="17" t="str">
        <f aca="false">IF(COUNT(G544:I544)=0,"",G544*55+H544*50+I544*50)</f>
        <v/>
      </c>
      <c r="K544" s="16"/>
      <c r="L544" s="16"/>
      <c r="M544" s="16"/>
      <c r="N544" s="17" t="str">
        <f aca="false">IF(COUNT(K544:M544)=0,"",MAX(K544:M544))</f>
        <v/>
      </c>
      <c r="O544" s="18" t="str">
        <f aca="false">IF(N544="","",IF(N544&gt;=7,"Sin pliometría ni velocidad. Solo isométricos, movilidad y tren superior. Valoración médica",IF(N544&gt;=4,"Sin pliometría el lunes. Sentadilla española 5x45 s","Sesión normal")))</f>
        <v/>
      </c>
      <c r="P544" s="16"/>
      <c r="Q544" s="16"/>
    </row>
    <row r="545" customFormat="false" ht="15" hidden="false" customHeight="false" outlineLevel="0" collapsed="false">
      <c r="A545" s="13" t="n">
        <v>39</v>
      </c>
      <c r="B545" s="14" t="n">
        <v>46538</v>
      </c>
      <c r="C545" s="13" t="s">
        <v>106</v>
      </c>
      <c r="D545" s="13" t="s">
        <v>110</v>
      </c>
      <c r="E545" s="13" t="n">
        <v>3</v>
      </c>
      <c r="F545" s="15" t="str">
        <f aca="false">Jugadores!$B$13</f>
        <v>Jugador 9</v>
      </c>
      <c r="G545" s="16"/>
      <c r="H545" s="16"/>
      <c r="I545" s="16"/>
      <c r="J545" s="17" t="str">
        <f aca="false">IF(COUNT(G545:I545)=0,"",G545*55+H545*50+I545*50)</f>
        <v/>
      </c>
      <c r="K545" s="16"/>
      <c r="L545" s="16"/>
      <c r="M545" s="16"/>
      <c r="N545" s="17" t="str">
        <f aca="false">IF(COUNT(K545:M545)=0,"",MAX(K545:M545))</f>
        <v/>
      </c>
      <c r="O545" s="18" t="str">
        <f aca="false">IF(N545="","",IF(N545&gt;=7,"Sin pliometría ni velocidad. Solo isométricos, movilidad y tren superior. Valoración médica",IF(N545&gt;=4,"Sin pliometría el lunes. Sentadilla española 5x45 s","Sesión normal")))</f>
        <v/>
      </c>
      <c r="P545" s="16"/>
      <c r="Q545" s="16"/>
    </row>
    <row r="546" customFormat="false" ht="15" hidden="false" customHeight="false" outlineLevel="0" collapsed="false">
      <c r="A546" s="13" t="n">
        <v>39</v>
      </c>
      <c r="B546" s="14" t="n">
        <v>46538</v>
      </c>
      <c r="C546" s="13" t="s">
        <v>106</v>
      </c>
      <c r="D546" s="13" t="s">
        <v>110</v>
      </c>
      <c r="E546" s="13" t="n">
        <v>3</v>
      </c>
      <c r="F546" s="15" t="str">
        <f aca="false">Jugadores!$B$14</f>
        <v>Jugador 10</v>
      </c>
      <c r="G546" s="16"/>
      <c r="H546" s="16"/>
      <c r="I546" s="16"/>
      <c r="J546" s="17" t="str">
        <f aca="false">IF(COUNT(G546:I546)=0,"",G546*55+H546*50+I546*50)</f>
        <v/>
      </c>
      <c r="K546" s="16"/>
      <c r="L546" s="16"/>
      <c r="M546" s="16"/>
      <c r="N546" s="17" t="str">
        <f aca="false">IF(COUNT(K546:M546)=0,"",MAX(K546:M546))</f>
        <v/>
      </c>
      <c r="O546" s="18" t="str">
        <f aca="false">IF(N546="","",IF(N546&gt;=7,"Sin pliometría ni velocidad. Solo isométricos, movilidad y tren superior. Valoración médica",IF(N546&gt;=4,"Sin pliometría el lunes. Sentadilla española 5x45 s","Sesión normal")))</f>
        <v/>
      </c>
      <c r="P546" s="16"/>
      <c r="Q546" s="16"/>
    </row>
    <row r="547" customFormat="false" ht="15" hidden="false" customHeight="false" outlineLevel="0" collapsed="false">
      <c r="A547" s="13" t="n">
        <v>39</v>
      </c>
      <c r="B547" s="14" t="n">
        <v>46538</v>
      </c>
      <c r="C547" s="13" t="s">
        <v>106</v>
      </c>
      <c r="D547" s="13" t="s">
        <v>110</v>
      </c>
      <c r="E547" s="13" t="n">
        <v>3</v>
      </c>
      <c r="F547" s="15" t="str">
        <f aca="false">Jugadores!$B$15</f>
        <v>Jugador 11</v>
      </c>
      <c r="G547" s="16"/>
      <c r="H547" s="16"/>
      <c r="I547" s="16"/>
      <c r="J547" s="17" t="str">
        <f aca="false">IF(COUNT(G547:I547)=0,"",G547*55+H547*50+I547*50)</f>
        <v/>
      </c>
      <c r="K547" s="16"/>
      <c r="L547" s="16"/>
      <c r="M547" s="16"/>
      <c r="N547" s="17" t="str">
        <f aca="false">IF(COUNT(K547:M547)=0,"",MAX(K547:M547))</f>
        <v/>
      </c>
      <c r="O547" s="18" t="str">
        <f aca="false">IF(N547="","",IF(N547&gt;=7,"Sin pliometría ni velocidad. Solo isométricos, movilidad y tren superior. Valoración médica",IF(N547&gt;=4,"Sin pliometría el lunes. Sentadilla española 5x45 s","Sesión normal")))</f>
        <v/>
      </c>
      <c r="P547" s="16"/>
      <c r="Q547" s="16"/>
    </row>
    <row r="548" customFormat="false" ht="15" hidden="false" customHeight="false" outlineLevel="0" collapsed="false">
      <c r="A548" s="13" t="n">
        <v>39</v>
      </c>
      <c r="B548" s="14" t="n">
        <v>46538</v>
      </c>
      <c r="C548" s="13" t="s">
        <v>106</v>
      </c>
      <c r="D548" s="13" t="s">
        <v>110</v>
      </c>
      <c r="E548" s="13" t="n">
        <v>3</v>
      </c>
      <c r="F548" s="15" t="str">
        <f aca="false">Jugadores!$B$16</f>
        <v>Jugador 12</v>
      </c>
      <c r="G548" s="16"/>
      <c r="H548" s="16"/>
      <c r="I548" s="16"/>
      <c r="J548" s="17" t="str">
        <f aca="false">IF(COUNT(G548:I548)=0,"",G548*55+H548*50+I548*50)</f>
        <v/>
      </c>
      <c r="K548" s="16"/>
      <c r="L548" s="16"/>
      <c r="M548" s="16"/>
      <c r="N548" s="17" t="str">
        <f aca="false">IF(COUNT(K548:M548)=0,"",MAX(K548:M548))</f>
        <v/>
      </c>
      <c r="O548" s="18" t="str">
        <f aca="false">IF(N548="","",IF(N548&gt;=7,"Sin pliometría ni velocidad. Solo isométricos, movilidad y tren superior. Valoración médica",IF(N548&gt;=4,"Sin pliometría el lunes. Sentadilla española 5x45 s","Sesión normal")))</f>
        <v/>
      </c>
      <c r="P548" s="16"/>
      <c r="Q548" s="16"/>
    </row>
    <row r="549" customFormat="false" ht="15" hidden="false" customHeight="false" outlineLevel="0" collapsed="false">
      <c r="A549" s="13" t="n">
        <v>39</v>
      </c>
      <c r="B549" s="14" t="n">
        <v>46538</v>
      </c>
      <c r="C549" s="13" t="s">
        <v>106</v>
      </c>
      <c r="D549" s="13" t="s">
        <v>110</v>
      </c>
      <c r="E549" s="13" t="n">
        <v>3</v>
      </c>
      <c r="F549" s="15" t="str">
        <f aca="false">Jugadores!$B$17</f>
        <v>Jugador 13</v>
      </c>
      <c r="G549" s="16"/>
      <c r="H549" s="16"/>
      <c r="I549" s="16"/>
      <c r="J549" s="17" t="str">
        <f aca="false">IF(COUNT(G549:I549)=0,"",G549*55+H549*50+I549*50)</f>
        <v/>
      </c>
      <c r="K549" s="16"/>
      <c r="L549" s="16"/>
      <c r="M549" s="16"/>
      <c r="N549" s="17" t="str">
        <f aca="false">IF(COUNT(K549:M549)=0,"",MAX(K549:M549))</f>
        <v/>
      </c>
      <c r="O549" s="18" t="str">
        <f aca="false">IF(N549="","",IF(N549&gt;=7,"Sin pliometría ni velocidad. Solo isométricos, movilidad y tren superior. Valoración médica",IF(N549&gt;=4,"Sin pliometría el lunes. Sentadilla española 5x45 s","Sesión normal")))</f>
        <v/>
      </c>
      <c r="P549" s="16"/>
      <c r="Q549" s="16"/>
    </row>
    <row r="550" customFormat="false" ht="15" hidden="false" customHeight="false" outlineLevel="0" collapsed="false">
      <c r="A550" s="13" t="n">
        <v>39</v>
      </c>
      <c r="B550" s="14" t="n">
        <v>46538</v>
      </c>
      <c r="C550" s="13" t="s">
        <v>106</v>
      </c>
      <c r="D550" s="13" t="s">
        <v>110</v>
      </c>
      <c r="E550" s="13" t="n">
        <v>3</v>
      </c>
      <c r="F550" s="15" t="str">
        <f aca="false">Jugadores!$B$18</f>
        <v>Jugador 14</v>
      </c>
      <c r="G550" s="16"/>
      <c r="H550" s="16"/>
      <c r="I550" s="16"/>
      <c r="J550" s="17" t="str">
        <f aca="false">IF(COUNT(G550:I550)=0,"",G550*55+H550*50+I550*50)</f>
        <v/>
      </c>
      <c r="K550" s="16"/>
      <c r="L550" s="16"/>
      <c r="M550" s="16"/>
      <c r="N550" s="17" t="str">
        <f aca="false">IF(COUNT(K550:M550)=0,"",MAX(K550:M550))</f>
        <v/>
      </c>
      <c r="O550" s="18" t="str">
        <f aca="false">IF(N550="","",IF(N550&gt;=7,"Sin pliometría ni velocidad. Solo isométricos, movilidad y tren superior. Valoración médica",IF(N550&gt;=4,"Sin pliometría el lunes. Sentadilla española 5x45 s","Sesión normal")))</f>
        <v/>
      </c>
      <c r="P550" s="16"/>
      <c r="Q550" s="16"/>
    </row>
  </sheetData>
  <autoFilter ref="A4:Q550"/>
  <conditionalFormatting sqref="N5:N550">
    <cfRule type="colorScale" priority="2">
      <colorScale>
        <cfvo type="num" val="0"/>
        <cfvo type="num" val="4"/>
        <cfvo type="num" val="8"/>
        <color rgb="FFC6EFCE"/>
        <color rgb="FFFFEB9C"/>
        <color rgb="FFFFC7CE"/>
      </colorScale>
    </cfRule>
  </conditionalFormatting>
  <dataValidations count="1">
    <dataValidation allowBlank="true" error="Introduce un número entero de 0 a 10." errorStyle="stop" errorTitle="Valor fuera de rango" operator="between" showDropDown="false" showErrorMessage="false" showInputMessage="false" sqref="G5:I550 K5:M550" type="whole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0" min="2" style="0" width="5.4"/>
  </cols>
  <sheetData>
    <row r="1" customFormat="false" ht="16.15" hidden="false" customHeight="false" outlineLevel="0" collapsed="false">
      <c r="A1" s="6" t="s">
        <v>111</v>
      </c>
    </row>
    <row r="2" customFormat="false" ht="15" hidden="false" customHeight="false" outlineLevel="0" collapsed="false">
      <c r="A2" s="7" t="s">
        <v>112</v>
      </c>
    </row>
    <row r="3" customFormat="false" ht="15" hidden="false" customHeight="false" outlineLevel="0" collapsed="false">
      <c r="A3" s="19" t="s">
        <v>113</v>
      </c>
      <c r="B3" s="20" t="n">
        <v>1</v>
      </c>
      <c r="C3" s="20" t="n">
        <v>2</v>
      </c>
      <c r="D3" s="20" t="n">
        <v>3</v>
      </c>
      <c r="E3" s="20" t="n">
        <v>4</v>
      </c>
      <c r="F3" s="20" t="n">
        <v>5</v>
      </c>
      <c r="G3" s="20" t="n">
        <v>6</v>
      </c>
      <c r="H3" s="20" t="n">
        <v>7</v>
      </c>
      <c r="I3" s="20" t="n">
        <v>8</v>
      </c>
      <c r="J3" s="20" t="n">
        <v>9</v>
      </c>
      <c r="K3" s="20" t="n">
        <v>10</v>
      </c>
      <c r="L3" s="20" t="n">
        <v>11</v>
      </c>
      <c r="M3" s="20" t="n">
        <v>12</v>
      </c>
      <c r="N3" s="20" t="n">
        <v>13</v>
      </c>
      <c r="O3" s="20" t="n">
        <v>14</v>
      </c>
      <c r="P3" s="20" t="n">
        <v>15</v>
      </c>
      <c r="Q3" s="20" t="n">
        <v>16</v>
      </c>
      <c r="R3" s="20" t="n">
        <v>17</v>
      </c>
      <c r="S3" s="20" t="n">
        <v>18</v>
      </c>
      <c r="T3" s="20" t="n">
        <v>19</v>
      </c>
      <c r="U3" s="20" t="n">
        <v>20</v>
      </c>
      <c r="V3" s="20" t="n">
        <v>21</v>
      </c>
      <c r="W3" s="20" t="n">
        <v>22</v>
      </c>
      <c r="X3" s="20" t="n">
        <v>23</v>
      </c>
      <c r="Y3" s="20" t="n">
        <v>24</v>
      </c>
      <c r="Z3" s="20" t="n">
        <v>25</v>
      </c>
      <c r="AA3" s="20" t="n">
        <v>26</v>
      </c>
      <c r="AB3" s="20" t="n">
        <v>27</v>
      </c>
      <c r="AC3" s="20" t="n">
        <v>28</v>
      </c>
      <c r="AD3" s="20" t="n">
        <v>29</v>
      </c>
      <c r="AE3" s="20" t="n">
        <v>30</v>
      </c>
      <c r="AF3" s="20" t="n">
        <v>31</v>
      </c>
      <c r="AG3" s="20" t="n">
        <v>32</v>
      </c>
      <c r="AH3" s="20" t="n">
        <v>33</v>
      </c>
      <c r="AI3" s="20" t="n">
        <v>34</v>
      </c>
      <c r="AJ3" s="20" t="n">
        <v>35</v>
      </c>
      <c r="AK3" s="20" t="n">
        <v>36</v>
      </c>
      <c r="AL3" s="20" t="n">
        <v>37</v>
      </c>
      <c r="AM3" s="20" t="n">
        <v>38</v>
      </c>
      <c r="AN3" s="20" t="n">
        <v>39</v>
      </c>
    </row>
    <row r="4" customFormat="false" ht="15" hidden="false" customHeight="false" outlineLevel="0" collapsed="false">
      <c r="A4" s="19" t="s">
        <v>26</v>
      </c>
      <c r="B4" s="21" t="s">
        <v>70</v>
      </c>
      <c r="C4" s="21" t="s">
        <v>70</v>
      </c>
      <c r="D4" s="21" t="s">
        <v>70</v>
      </c>
      <c r="E4" s="21" t="s">
        <v>70</v>
      </c>
      <c r="F4" s="21" t="s">
        <v>74</v>
      </c>
      <c r="G4" s="21" t="s">
        <v>74</v>
      </c>
      <c r="H4" s="21" t="s">
        <v>74</v>
      </c>
      <c r="I4" s="21" t="s">
        <v>74</v>
      </c>
      <c r="J4" s="21" t="s">
        <v>74</v>
      </c>
      <c r="K4" s="21" t="s">
        <v>74</v>
      </c>
      <c r="L4" s="21" t="s">
        <v>74</v>
      </c>
      <c r="M4" s="21" t="s">
        <v>74</v>
      </c>
      <c r="N4" s="21" t="s">
        <v>82</v>
      </c>
      <c r="O4" s="21" t="s">
        <v>82</v>
      </c>
      <c r="P4" s="21" t="s">
        <v>82</v>
      </c>
      <c r="Q4" s="21" t="s">
        <v>85</v>
      </c>
      <c r="R4" s="21" t="s">
        <v>85</v>
      </c>
      <c r="S4" s="21" t="s">
        <v>85</v>
      </c>
      <c r="T4" s="21" t="s">
        <v>85</v>
      </c>
      <c r="U4" s="21" t="s">
        <v>87</v>
      </c>
      <c r="V4" s="21" t="s">
        <v>87</v>
      </c>
      <c r="W4" s="21" t="s">
        <v>87</v>
      </c>
      <c r="X4" s="21" t="s">
        <v>87</v>
      </c>
      <c r="Y4" s="21" t="s">
        <v>87</v>
      </c>
      <c r="Z4" s="21" t="s">
        <v>87</v>
      </c>
      <c r="AA4" s="21" t="s">
        <v>94</v>
      </c>
      <c r="AB4" s="21" t="s">
        <v>94</v>
      </c>
      <c r="AC4" s="21" t="s">
        <v>97</v>
      </c>
      <c r="AD4" s="21" t="s">
        <v>97</v>
      </c>
      <c r="AE4" s="21" t="s">
        <v>97</v>
      </c>
      <c r="AF4" s="21" t="s">
        <v>100</v>
      </c>
      <c r="AG4" s="21" t="s">
        <v>100</v>
      </c>
      <c r="AH4" s="21" t="s">
        <v>100</v>
      </c>
      <c r="AI4" s="21" t="s">
        <v>104</v>
      </c>
      <c r="AJ4" s="21" t="s">
        <v>104</v>
      </c>
      <c r="AK4" s="21" t="s">
        <v>106</v>
      </c>
      <c r="AL4" s="21" t="s">
        <v>106</v>
      </c>
      <c r="AM4" s="21" t="s">
        <v>106</v>
      </c>
      <c r="AN4" s="21" t="s">
        <v>106</v>
      </c>
    </row>
    <row r="5" customFormat="false" ht="15" hidden="false" customHeight="false" outlineLevel="0" collapsed="false">
      <c r="A5" s="22" t="str">
        <f aca="false">Jugadores!$B$5</f>
        <v>Jugador 1</v>
      </c>
      <c r="B5" s="17" t="str">
        <f aca="false">IF(SUMIFS(Registro!$N:$N,Registro!$A:$A,B$3,Registro!$F:$F,$A5)=0,"",SUMIFS(Registro!$N:$N,Registro!$A:$A,B$3,Registro!$F:$F,$A5))</f>
        <v/>
      </c>
      <c r="C5" s="17" t="str">
        <f aca="false">IF(SUMIFS(Registro!$N:$N,Registro!$A:$A,C$3,Registro!$F:$F,$A5)=0,"",SUMIFS(Registro!$N:$N,Registro!$A:$A,C$3,Registro!$F:$F,$A5))</f>
        <v/>
      </c>
      <c r="D5" s="17" t="str">
        <f aca="false">IF(SUMIFS(Registro!$N:$N,Registro!$A:$A,D$3,Registro!$F:$F,$A5)=0,"",SUMIFS(Registro!$N:$N,Registro!$A:$A,D$3,Registro!$F:$F,$A5))</f>
        <v/>
      </c>
      <c r="E5" s="17" t="str">
        <f aca="false">IF(SUMIFS(Registro!$N:$N,Registro!$A:$A,E$3,Registro!$F:$F,$A5)=0,"",SUMIFS(Registro!$N:$N,Registro!$A:$A,E$3,Registro!$F:$F,$A5))</f>
        <v/>
      </c>
      <c r="F5" s="17" t="str">
        <f aca="false">IF(SUMIFS(Registro!$N:$N,Registro!$A:$A,F$3,Registro!$F:$F,$A5)=0,"",SUMIFS(Registro!$N:$N,Registro!$A:$A,F$3,Registro!$F:$F,$A5))</f>
        <v/>
      </c>
      <c r="G5" s="17" t="str">
        <f aca="false">IF(SUMIFS(Registro!$N:$N,Registro!$A:$A,G$3,Registro!$F:$F,$A5)=0,"",SUMIFS(Registro!$N:$N,Registro!$A:$A,G$3,Registro!$F:$F,$A5))</f>
        <v/>
      </c>
      <c r="H5" s="17" t="str">
        <f aca="false">IF(SUMIFS(Registro!$N:$N,Registro!$A:$A,H$3,Registro!$F:$F,$A5)=0,"",SUMIFS(Registro!$N:$N,Registro!$A:$A,H$3,Registro!$F:$F,$A5))</f>
        <v/>
      </c>
      <c r="I5" s="17" t="str">
        <f aca="false">IF(SUMIFS(Registro!$N:$N,Registro!$A:$A,I$3,Registro!$F:$F,$A5)=0,"",SUMIFS(Registro!$N:$N,Registro!$A:$A,I$3,Registro!$F:$F,$A5))</f>
        <v/>
      </c>
      <c r="J5" s="17" t="str">
        <f aca="false">IF(SUMIFS(Registro!$N:$N,Registro!$A:$A,J$3,Registro!$F:$F,$A5)=0,"",SUMIFS(Registro!$N:$N,Registro!$A:$A,J$3,Registro!$F:$F,$A5))</f>
        <v/>
      </c>
      <c r="K5" s="17" t="str">
        <f aca="false">IF(SUMIFS(Registro!$N:$N,Registro!$A:$A,K$3,Registro!$F:$F,$A5)=0,"",SUMIFS(Registro!$N:$N,Registro!$A:$A,K$3,Registro!$F:$F,$A5))</f>
        <v/>
      </c>
      <c r="L5" s="17" t="str">
        <f aca="false">IF(SUMIFS(Registro!$N:$N,Registro!$A:$A,L$3,Registro!$F:$F,$A5)=0,"",SUMIFS(Registro!$N:$N,Registro!$A:$A,L$3,Registro!$F:$F,$A5))</f>
        <v/>
      </c>
      <c r="M5" s="17" t="str">
        <f aca="false">IF(SUMIFS(Registro!$N:$N,Registro!$A:$A,M$3,Registro!$F:$F,$A5)=0,"",SUMIFS(Registro!$N:$N,Registro!$A:$A,M$3,Registro!$F:$F,$A5))</f>
        <v/>
      </c>
      <c r="N5" s="17" t="str">
        <f aca="false">IF(SUMIFS(Registro!$N:$N,Registro!$A:$A,N$3,Registro!$F:$F,$A5)=0,"",SUMIFS(Registro!$N:$N,Registro!$A:$A,N$3,Registro!$F:$F,$A5))</f>
        <v/>
      </c>
      <c r="O5" s="17" t="str">
        <f aca="false">IF(SUMIFS(Registro!$N:$N,Registro!$A:$A,O$3,Registro!$F:$F,$A5)=0,"",SUMIFS(Registro!$N:$N,Registro!$A:$A,O$3,Registro!$F:$F,$A5))</f>
        <v/>
      </c>
      <c r="P5" s="17" t="str">
        <f aca="false">IF(SUMIFS(Registro!$N:$N,Registro!$A:$A,P$3,Registro!$F:$F,$A5)=0,"",SUMIFS(Registro!$N:$N,Registro!$A:$A,P$3,Registro!$F:$F,$A5))</f>
        <v/>
      </c>
      <c r="Q5" s="17" t="str">
        <f aca="false">IF(SUMIFS(Registro!$N:$N,Registro!$A:$A,Q$3,Registro!$F:$F,$A5)=0,"",SUMIFS(Registro!$N:$N,Registro!$A:$A,Q$3,Registro!$F:$F,$A5))</f>
        <v/>
      </c>
      <c r="R5" s="17" t="str">
        <f aca="false">IF(SUMIFS(Registro!$N:$N,Registro!$A:$A,R$3,Registro!$F:$F,$A5)=0,"",SUMIFS(Registro!$N:$N,Registro!$A:$A,R$3,Registro!$F:$F,$A5))</f>
        <v/>
      </c>
      <c r="S5" s="17" t="str">
        <f aca="false">IF(SUMIFS(Registro!$N:$N,Registro!$A:$A,S$3,Registro!$F:$F,$A5)=0,"",SUMIFS(Registro!$N:$N,Registro!$A:$A,S$3,Registro!$F:$F,$A5))</f>
        <v/>
      </c>
      <c r="T5" s="17" t="str">
        <f aca="false">IF(SUMIFS(Registro!$N:$N,Registro!$A:$A,T$3,Registro!$F:$F,$A5)=0,"",SUMIFS(Registro!$N:$N,Registro!$A:$A,T$3,Registro!$F:$F,$A5))</f>
        <v/>
      </c>
      <c r="U5" s="17" t="str">
        <f aca="false">IF(SUMIFS(Registro!$N:$N,Registro!$A:$A,U$3,Registro!$F:$F,$A5)=0,"",SUMIFS(Registro!$N:$N,Registro!$A:$A,U$3,Registro!$F:$F,$A5))</f>
        <v/>
      </c>
      <c r="V5" s="17" t="str">
        <f aca="false">IF(SUMIFS(Registro!$N:$N,Registro!$A:$A,V$3,Registro!$F:$F,$A5)=0,"",SUMIFS(Registro!$N:$N,Registro!$A:$A,V$3,Registro!$F:$F,$A5))</f>
        <v/>
      </c>
      <c r="W5" s="17" t="str">
        <f aca="false">IF(SUMIFS(Registro!$N:$N,Registro!$A:$A,W$3,Registro!$F:$F,$A5)=0,"",SUMIFS(Registro!$N:$N,Registro!$A:$A,W$3,Registro!$F:$F,$A5))</f>
        <v/>
      </c>
      <c r="X5" s="17" t="str">
        <f aca="false">IF(SUMIFS(Registro!$N:$N,Registro!$A:$A,X$3,Registro!$F:$F,$A5)=0,"",SUMIFS(Registro!$N:$N,Registro!$A:$A,X$3,Registro!$F:$F,$A5))</f>
        <v/>
      </c>
      <c r="Y5" s="17" t="str">
        <f aca="false">IF(SUMIFS(Registro!$N:$N,Registro!$A:$A,Y$3,Registro!$F:$F,$A5)=0,"",SUMIFS(Registro!$N:$N,Registro!$A:$A,Y$3,Registro!$F:$F,$A5))</f>
        <v/>
      </c>
      <c r="Z5" s="17" t="str">
        <f aca="false">IF(SUMIFS(Registro!$N:$N,Registro!$A:$A,Z$3,Registro!$F:$F,$A5)=0,"",SUMIFS(Registro!$N:$N,Registro!$A:$A,Z$3,Registro!$F:$F,$A5))</f>
        <v/>
      </c>
      <c r="AA5" s="17" t="str">
        <f aca="false">IF(SUMIFS(Registro!$N:$N,Registro!$A:$A,AA$3,Registro!$F:$F,$A5)=0,"",SUMIFS(Registro!$N:$N,Registro!$A:$A,AA$3,Registro!$F:$F,$A5))</f>
        <v/>
      </c>
      <c r="AB5" s="17" t="str">
        <f aca="false">IF(SUMIFS(Registro!$N:$N,Registro!$A:$A,AB$3,Registro!$F:$F,$A5)=0,"",SUMIFS(Registro!$N:$N,Registro!$A:$A,AB$3,Registro!$F:$F,$A5))</f>
        <v/>
      </c>
      <c r="AC5" s="17" t="str">
        <f aca="false">IF(SUMIFS(Registro!$N:$N,Registro!$A:$A,AC$3,Registro!$F:$F,$A5)=0,"",SUMIFS(Registro!$N:$N,Registro!$A:$A,AC$3,Registro!$F:$F,$A5))</f>
        <v/>
      </c>
      <c r="AD5" s="17" t="str">
        <f aca="false">IF(SUMIFS(Registro!$N:$N,Registro!$A:$A,AD$3,Registro!$F:$F,$A5)=0,"",SUMIFS(Registro!$N:$N,Registro!$A:$A,AD$3,Registro!$F:$F,$A5))</f>
        <v/>
      </c>
      <c r="AE5" s="17" t="str">
        <f aca="false">IF(SUMIFS(Registro!$N:$N,Registro!$A:$A,AE$3,Registro!$F:$F,$A5)=0,"",SUMIFS(Registro!$N:$N,Registro!$A:$A,AE$3,Registro!$F:$F,$A5))</f>
        <v/>
      </c>
      <c r="AF5" s="17" t="str">
        <f aca="false">IF(SUMIFS(Registro!$N:$N,Registro!$A:$A,AF$3,Registro!$F:$F,$A5)=0,"",SUMIFS(Registro!$N:$N,Registro!$A:$A,AF$3,Registro!$F:$F,$A5))</f>
        <v/>
      </c>
      <c r="AG5" s="17" t="str">
        <f aca="false">IF(SUMIFS(Registro!$N:$N,Registro!$A:$A,AG$3,Registro!$F:$F,$A5)=0,"",SUMIFS(Registro!$N:$N,Registro!$A:$A,AG$3,Registro!$F:$F,$A5))</f>
        <v/>
      </c>
      <c r="AH5" s="17" t="str">
        <f aca="false">IF(SUMIFS(Registro!$N:$N,Registro!$A:$A,AH$3,Registro!$F:$F,$A5)=0,"",SUMIFS(Registro!$N:$N,Registro!$A:$A,AH$3,Registro!$F:$F,$A5))</f>
        <v/>
      </c>
      <c r="AI5" s="17" t="str">
        <f aca="false">IF(SUMIFS(Registro!$N:$N,Registro!$A:$A,AI$3,Registro!$F:$F,$A5)=0,"",SUMIFS(Registro!$N:$N,Registro!$A:$A,AI$3,Registro!$F:$F,$A5))</f>
        <v/>
      </c>
      <c r="AJ5" s="17" t="str">
        <f aca="false">IF(SUMIFS(Registro!$N:$N,Registro!$A:$A,AJ$3,Registro!$F:$F,$A5)=0,"",SUMIFS(Registro!$N:$N,Registro!$A:$A,AJ$3,Registro!$F:$F,$A5))</f>
        <v/>
      </c>
      <c r="AK5" s="17" t="str">
        <f aca="false">IF(SUMIFS(Registro!$N:$N,Registro!$A:$A,AK$3,Registro!$F:$F,$A5)=0,"",SUMIFS(Registro!$N:$N,Registro!$A:$A,AK$3,Registro!$F:$F,$A5))</f>
        <v/>
      </c>
      <c r="AL5" s="17" t="str">
        <f aca="false">IF(SUMIFS(Registro!$N:$N,Registro!$A:$A,AL$3,Registro!$F:$F,$A5)=0,"",SUMIFS(Registro!$N:$N,Registro!$A:$A,AL$3,Registro!$F:$F,$A5))</f>
        <v/>
      </c>
      <c r="AM5" s="17" t="str">
        <f aca="false">IF(SUMIFS(Registro!$N:$N,Registro!$A:$A,AM$3,Registro!$F:$F,$A5)=0,"",SUMIFS(Registro!$N:$N,Registro!$A:$A,AM$3,Registro!$F:$F,$A5))</f>
        <v/>
      </c>
      <c r="AN5" s="17" t="str">
        <f aca="false">IF(SUMIFS(Registro!$N:$N,Registro!$A:$A,AN$3,Registro!$F:$F,$A5)=0,"",SUMIFS(Registro!$N:$N,Registro!$A:$A,AN$3,Registro!$F:$F,$A5))</f>
        <v/>
      </c>
    </row>
    <row r="6" customFormat="false" ht="15" hidden="false" customHeight="false" outlineLevel="0" collapsed="false">
      <c r="A6" s="22" t="str">
        <f aca="false">Jugadores!$B$6</f>
        <v>Jugador 2</v>
      </c>
      <c r="B6" s="17" t="str">
        <f aca="false">IF(SUMIFS(Registro!$N:$N,Registro!$A:$A,B$3,Registro!$F:$F,$A6)=0,"",SUMIFS(Registro!$N:$N,Registro!$A:$A,B$3,Registro!$F:$F,$A6))</f>
        <v/>
      </c>
      <c r="C6" s="17" t="str">
        <f aca="false">IF(SUMIFS(Registro!$N:$N,Registro!$A:$A,C$3,Registro!$F:$F,$A6)=0,"",SUMIFS(Registro!$N:$N,Registro!$A:$A,C$3,Registro!$F:$F,$A6))</f>
        <v/>
      </c>
      <c r="D6" s="17" t="str">
        <f aca="false">IF(SUMIFS(Registro!$N:$N,Registro!$A:$A,D$3,Registro!$F:$F,$A6)=0,"",SUMIFS(Registro!$N:$N,Registro!$A:$A,D$3,Registro!$F:$F,$A6))</f>
        <v/>
      </c>
      <c r="E6" s="17" t="str">
        <f aca="false">IF(SUMIFS(Registro!$N:$N,Registro!$A:$A,E$3,Registro!$F:$F,$A6)=0,"",SUMIFS(Registro!$N:$N,Registro!$A:$A,E$3,Registro!$F:$F,$A6))</f>
        <v/>
      </c>
      <c r="F6" s="17" t="str">
        <f aca="false">IF(SUMIFS(Registro!$N:$N,Registro!$A:$A,F$3,Registro!$F:$F,$A6)=0,"",SUMIFS(Registro!$N:$N,Registro!$A:$A,F$3,Registro!$F:$F,$A6))</f>
        <v/>
      </c>
      <c r="G6" s="17" t="str">
        <f aca="false">IF(SUMIFS(Registro!$N:$N,Registro!$A:$A,G$3,Registro!$F:$F,$A6)=0,"",SUMIFS(Registro!$N:$N,Registro!$A:$A,G$3,Registro!$F:$F,$A6))</f>
        <v/>
      </c>
      <c r="H6" s="17" t="str">
        <f aca="false">IF(SUMIFS(Registro!$N:$N,Registro!$A:$A,H$3,Registro!$F:$F,$A6)=0,"",SUMIFS(Registro!$N:$N,Registro!$A:$A,H$3,Registro!$F:$F,$A6))</f>
        <v/>
      </c>
      <c r="I6" s="17" t="str">
        <f aca="false">IF(SUMIFS(Registro!$N:$N,Registro!$A:$A,I$3,Registro!$F:$F,$A6)=0,"",SUMIFS(Registro!$N:$N,Registro!$A:$A,I$3,Registro!$F:$F,$A6))</f>
        <v/>
      </c>
      <c r="J6" s="17" t="str">
        <f aca="false">IF(SUMIFS(Registro!$N:$N,Registro!$A:$A,J$3,Registro!$F:$F,$A6)=0,"",SUMIFS(Registro!$N:$N,Registro!$A:$A,J$3,Registro!$F:$F,$A6))</f>
        <v/>
      </c>
      <c r="K6" s="17" t="str">
        <f aca="false">IF(SUMIFS(Registro!$N:$N,Registro!$A:$A,K$3,Registro!$F:$F,$A6)=0,"",SUMIFS(Registro!$N:$N,Registro!$A:$A,K$3,Registro!$F:$F,$A6))</f>
        <v/>
      </c>
      <c r="L6" s="17" t="str">
        <f aca="false">IF(SUMIFS(Registro!$N:$N,Registro!$A:$A,L$3,Registro!$F:$F,$A6)=0,"",SUMIFS(Registro!$N:$N,Registro!$A:$A,L$3,Registro!$F:$F,$A6))</f>
        <v/>
      </c>
      <c r="M6" s="17" t="str">
        <f aca="false">IF(SUMIFS(Registro!$N:$N,Registro!$A:$A,M$3,Registro!$F:$F,$A6)=0,"",SUMIFS(Registro!$N:$N,Registro!$A:$A,M$3,Registro!$F:$F,$A6))</f>
        <v/>
      </c>
      <c r="N6" s="17" t="str">
        <f aca="false">IF(SUMIFS(Registro!$N:$N,Registro!$A:$A,N$3,Registro!$F:$F,$A6)=0,"",SUMIFS(Registro!$N:$N,Registro!$A:$A,N$3,Registro!$F:$F,$A6))</f>
        <v/>
      </c>
      <c r="O6" s="17" t="str">
        <f aca="false">IF(SUMIFS(Registro!$N:$N,Registro!$A:$A,O$3,Registro!$F:$F,$A6)=0,"",SUMIFS(Registro!$N:$N,Registro!$A:$A,O$3,Registro!$F:$F,$A6))</f>
        <v/>
      </c>
      <c r="P6" s="17" t="str">
        <f aca="false">IF(SUMIFS(Registro!$N:$N,Registro!$A:$A,P$3,Registro!$F:$F,$A6)=0,"",SUMIFS(Registro!$N:$N,Registro!$A:$A,P$3,Registro!$F:$F,$A6))</f>
        <v/>
      </c>
      <c r="Q6" s="17" t="str">
        <f aca="false">IF(SUMIFS(Registro!$N:$N,Registro!$A:$A,Q$3,Registro!$F:$F,$A6)=0,"",SUMIFS(Registro!$N:$N,Registro!$A:$A,Q$3,Registro!$F:$F,$A6))</f>
        <v/>
      </c>
      <c r="R6" s="17" t="str">
        <f aca="false">IF(SUMIFS(Registro!$N:$N,Registro!$A:$A,R$3,Registro!$F:$F,$A6)=0,"",SUMIFS(Registro!$N:$N,Registro!$A:$A,R$3,Registro!$F:$F,$A6))</f>
        <v/>
      </c>
      <c r="S6" s="17" t="str">
        <f aca="false">IF(SUMIFS(Registro!$N:$N,Registro!$A:$A,S$3,Registro!$F:$F,$A6)=0,"",SUMIFS(Registro!$N:$N,Registro!$A:$A,S$3,Registro!$F:$F,$A6))</f>
        <v/>
      </c>
      <c r="T6" s="17" t="str">
        <f aca="false">IF(SUMIFS(Registro!$N:$N,Registro!$A:$A,T$3,Registro!$F:$F,$A6)=0,"",SUMIFS(Registro!$N:$N,Registro!$A:$A,T$3,Registro!$F:$F,$A6))</f>
        <v/>
      </c>
      <c r="U6" s="17" t="str">
        <f aca="false">IF(SUMIFS(Registro!$N:$N,Registro!$A:$A,U$3,Registro!$F:$F,$A6)=0,"",SUMIFS(Registro!$N:$N,Registro!$A:$A,U$3,Registro!$F:$F,$A6))</f>
        <v/>
      </c>
      <c r="V6" s="17" t="str">
        <f aca="false">IF(SUMIFS(Registro!$N:$N,Registro!$A:$A,V$3,Registro!$F:$F,$A6)=0,"",SUMIFS(Registro!$N:$N,Registro!$A:$A,V$3,Registro!$F:$F,$A6))</f>
        <v/>
      </c>
      <c r="W6" s="17" t="str">
        <f aca="false">IF(SUMIFS(Registro!$N:$N,Registro!$A:$A,W$3,Registro!$F:$F,$A6)=0,"",SUMIFS(Registro!$N:$N,Registro!$A:$A,W$3,Registro!$F:$F,$A6))</f>
        <v/>
      </c>
      <c r="X6" s="17" t="str">
        <f aca="false">IF(SUMIFS(Registro!$N:$N,Registro!$A:$A,X$3,Registro!$F:$F,$A6)=0,"",SUMIFS(Registro!$N:$N,Registro!$A:$A,X$3,Registro!$F:$F,$A6))</f>
        <v/>
      </c>
      <c r="Y6" s="17" t="str">
        <f aca="false">IF(SUMIFS(Registro!$N:$N,Registro!$A:$A,Y$3,Registro!$F:$F,$A6)=0,"",SUMIFS(Registro!$N:$N,Registro!$A:$A,Y$3,Registro!$F:$F,$A6))</f>
        <v/>
      </c>
      <c r="Z6" s="17" t="str">
        <f aca="false">IF(SUMIFS(Registro!$N:$N,Registro!$A:$A,Z$3,Registro!$F:$F,$A6)=0,"",SUMIFS(Registro!$N:$N,Registro!$A:$A,Z$3,Registro!$F:$F,$A6))</f>
        <v/>
      </c>
      <c r="AA6" s="17" t="str">
        <f aca="false">IF(SUMIFS(Registro!$N:$N,Registro!$A:$A,AA$3,Registro!$F:$F,$A6)=0,"",SUMIFS(Registro!$N:$N,Registro!$A:$A,AA$3,Registro!$F:$F,$A6))</f>
        <v/>
      </c>
      <c r="AB6" s="17" t="str">
        <f aca="false">IF(SUMIFS(Registro!$N:$N,Registro!$A:$A,AB$3,Registro!$F:$F,$A6)=0,"",SUMIFS(Registro!$N:$N,Registro!$A:$A,AB$3,Registro!$F:$F,$A6))</f>
        <v/>
      </c>
      <c r="AC6" s="17" t="str">
        <f aca="false">IF(SUMIFS(Registro!$N:$N,Registro!$A:$A,AC$3,Registro!$F:$F,$A6)=0,"",SUMIFS(Registro!$N:$N,Registro!$A:$A,AC$3,Registro!$F:$F,$A6))</f>
        <v/>
      </c>
      <c r="AD6" s="17" t="str">
        <f aca="false">IF(SUMIFS(Registro!$N:$N,Registro!$A:$A,AD$3,Registro!$F:$F,$A6)=0,"",SUMIFS(Registro!$N:$N,Registro!$A:$A,AD$3,Registro!$F:$F,$A6))</f>
        <v/>
      </c>
      <c r="AE6" s="17" t="str">
        <f aca="false">IF(SUMIFS(Registro!$N:$N,Registro!$A:$A,AE$3,Registro!$F:$F,$A6)=0,"",SUMIFS(Registro!$N:$N,Registro!$A:$A,AE$3,Registro!$F:$F,$A6))</f>
        <v/>
      </c>
      <c r="AF6" s="17" t="str">
        <f aca="false">IF(SUMIFS(Registro!$N:$N,Registro!$A:$A,AF$3,Registro!$F:$F,$A6)=0,"",SUMIFS(Registro!$N:$N,Registro!$A:$A,AF$3,Registro!$F:$F,$A6))</f>
        <v/>
      </c>
      <c r="AG6" s="17" t="str">
        <f aca="false">IF(SUMIFS(Registro!$N:$N,Registro!$A:$A,AG$3,Registro!$F:$F,$A6)=0,"",SUMIFS(Registro!$N:$N,Registro!$A:$A,AG$3,Registro!$F:$F,$A6))</f>
        <v/>
      </c>
      <c r="AH6" s="17" t="str">
        <f aca="false">IF(SUMIFS(Registro!$N:$N,Registro!$A:$A,AH$3,Registro!$F:$F,$A6)=0,"",SUMIFS(Registro!$N:$N,Registro!$A:$A,AH$3,Registro!$F:$F,$A6))</f>
        <v/>
      </c>
      <c r="AI6" s="17" t="str">
        <f aca="false">IF(SUMIFS(Registro!$N:$N,Registro!$A:$A,AI$3,Registro!$F:$F,$A6)=0,"",SUMIFS(Registro!$N:$N,Registro!$A:$A,AI$3,Registro!$F:$F,$A6))</f>
        <v/>
      </c>
      <c r="AJ6" s="17" t="str">
        <f aca="false">IF(SUMIFS(Registro!$N:$N,Registro!$A:$A,AJ$3,Registro!$F:$F,$A6)=0,"",SUMIFS(Registro!$N:$N,Registro!$A:$A,AJ$3,Registro!$F:$F,$A6))</f>
        <v/>
      </c>
      <c r="AK6" s="17" t="str">
        <f aca="false">IF(SUMIFS(Registro!$N:$N,Registro!$A:$A,AK$3,Registro!$F:$F,$A6)=0,"",SUMIFS(Registro!$N:$N,Registro!$A:$A,AK$3,Registro!$F:$F,$A6))</f>
        <v/>
      </c>
      <c r="AL6" s="17" t="str">
        <f aca="false">IF(SUMIFS(Registro!$N:$N,Registro!$A:$A,AL$3,Registro!$F:$F,$A6)=0,"",SUMIFS(Registro!$N:$N,Registro!$A:$A,AL$3,Registro!$F:$F,$A6))</f>
        <v/>
      </c>
      <c r="AM6" s="17" t="str">
        <f aca="false">IF(SUMIFS(Registro!$N:$N,Registro!$A:$A,AM$3,Registro!$F:$F,$A6)=0,"",SUMIFS(Registro!$N:$N,Registro!$A:$A,AM$3,Registro!$F:$F,$A6))</f>
        <v/>
      </c>
      <c r="AN6" s="17" t="str">
        <f aca="false">IF(SUMIFS(Registro!$N:$N,Registro!$A:$A,AN$3,Registro!$F:$F,$A6)=0,"",SUMIFS(Registro!$N:$N,Registro!$A:$A,AN$3,Registro!$F:$F,$A6))</f>
        <v/>
      </c>
    </row>
    <row r="7" customFormat="false" ht="15" hidden="false" customHeight="false" outlineLevel="0" collapsed="false">
      <c r="A7" s="22" t="str">
        <f aca="false">Jugadores!$B$7</f>
        <v>Jugador 3</v>
      </c>
      <c r="B7" s="17" t="str">
        <f aca="false">IF(SUMIFS(Registro!$N:$N,Registro!$A:$A,B$3,Registro!$F:$F,$A7)=0,"",SUMIFS(Registro!$N:$N,Registro!$A:$A,B$3,Registro!$F:$F,$A7))</f>
        <v/>
      </c>
      <c r="C7" s="17" t="str">
        <f aca="false">IF(SUMIFS(Registro!$N:$N,Registro!$A:$A,C$3,Registro!$F:$F,$A7)=0,"",SUMIFS(Registro!$N:$N,Registro!$A:$A,C$3,Registro!$F:$F,$A7))</f>
        <v/>
      </c>
      <c r="D7" s="17" t="str">
        <f aca="false">IF(SUMIFS(Registro!$N:$N,Registro!$A:$A,D$3,Registro!$F:$F,$A7)=0,"",SUMIFS(Registro!$N:$N,Registro!$A:$A,D$3,Registro!$F:$F,$A7))</f>
        <v/>
      </c>
      <c r="E7" s="17" t="str">
        <f aca="false">IF(SUMIFS(Registro!$N:$N,Registro!$A:$A,E$3,Registro!$F:$F,$A7)=0,"",SUMIFS(Registro!$N:$N,Registro!$A:$A,E$3,Registro!$F:$F,$A7))</f>
        <v/>
      </c>
      <c r="F7" s="17" t="str">
        <f aca="false">IF(SUMIFS(Registro!$N:$N,Registro!$A:$A,F$3,Registro!$F:$F,$A7)=0,"",SUMIFS(Registro!$N:$N,Registro!$A:$A,F$3,Registro!$F:$F,$A7))</f>
        <v/>
      </c>
      <c r="G7" s="17" t="str">
        <f aca="false">IF(SUMIFS(Registro!$N:$N,Registro!$A:$A,G$3,Registro!$F:$F,$A7)=0,"",SUMIFS(Registro!$N:$N,Registro!$A:$A,G$3,Registro!$F:$F,$A7))</f>
        <v/>
      </c>
      <c r="H7" s="17" t="str">
        <f aca="false">IF(SUMIFS(Registro!$N:$N,Registro!$A:$A,H$3,Registro!$F:$F,$A7)=0,"",SUMIFS(Registro!$N:$N,Registro!$A:$A,H$3,Registro!$F:$F,$A7))</f>
        <v/>
      </c>
      <c r="I7" s="17" t="str">
        <f aca="false">IF(SUMIFS(Registro!$N:$N,Registro!$A:$A,I$3,Registro!$F:$F,$A7)=0,"",SUMIFS(Registro!$N:$N,Registro!$A:$A,I$3,Registro!$F:$F,$A7))</f>
        <v/>
      </c>
      <c r="J7" s="17" t="str">
        <f aca="false">IF(SUMIFS(Registro!$N:$N,Registro!$A:$A,J$3,Registro!$F:$F,$A7)=0,"",SUMIFS(Registro!$N:$N,Registro!$A:$A,J$3,Registro!$F:$F,$A7))</f>
        <v/>
      </c>
      <c r="K7" s="17" t="str">
        <f aca="false">IF(SUMIFS(Registro!$N:$N,Registro!$A:$A,K$3,Registro!$F:$F,$A7)=0,"",SUMIFS(Registro!$N:$N,Registro!$A:$A,K$3,Registro!$F:$F,$A7))</f>
        <v/>
      </c>
      <c r="L7" s="17" t="str">
        <f aca="false">IF(SUMIFS(Registro!$N:$N,Registro!$A:$A,L$3,Registro!$F:$F,$A7)=0,"",SUMIFS(Registro!$N:$N,Registro!$A:$A,L$3,Registro!$F:$F,$A7))</f>
        <v/>
      </c>
      <c r="M7" s="17" t="str">
        <f aca="false">IF(SUMIFS(Registro!$N:$N,Registro!$A:$A,M$3,Registro!$F:$F,$A7)=0,"",SUMIFS(Registro!$N:$N,Registro!$A:$A,M$3,Registro!$F:$F,$A7))</f>
        <v/>
      </c>
      <c r="N7" s="17" t="str">
        <f aca="false">IF(SUMIFS(Registro!$N:$N,Registro!$A:$A,N$3,Registro!$F:$F,$A7)=0,"",SUMIFS(Registro!$N:$N,Registro!$A:$A,N$3,Registro!$F:$F,$A7))</f>
        <v/>
      </c>
      <c r="O7" s="17" t="str">
        <f aca="false">IF(SUMIFS(Registro!$N:$N,Registro!$A:$A,O$3,Registro!$F:$F,$A7)=0,"",SUMIFS(Registro!$N:$N,Registro!$A:$A,O$3,Registro!$F:$F,$A7))</f>
        <v/>
      </c>
      <c r="P7" s="17" t="str">
        <f aca="false">IF(SUMIFS(Registro!$N:$N,Registro!$A:$A,P$3,Registro!$F:$F,$A7)=0,"",SUMIFS(Registro!$N:$N,Registro!$A:$A,P$3,Registro!$F:$F,$A7))</f>
        <v/>
      </c>
      <c r="Q7" s="17" t="str">
        <f aca="false">IF(SUMIFS(Registro!$N:$N,Registro!$A:$A,Q$3,Registro!$F:$F,$A7)=0,"",SUMIFS(Registro!$N:$N,Registro!$A:$A,Q$3,Registro!$F:$F,$A7))</f>
        <v/>
      </c>
      <c r="R7" s="17" t="str">
        <f aca="false">IF(SUMIFS(Registro!$N:$N,Registro!$A:$A,R$3,Registro!$F:$F,$A7)=0,"",SUMIFS(Registro!$N:$N,Registro!$A:$A,R$3,Registro!$F:$F,$A7))</f>
        <v/>
      </c>
      <c r="S7" s="17" t="str">
        <f aca="false">IF(SUMIFS(Registro!$N:$N,Registro!$A:$A,S$3,Registro!$F:$F,$A7)=0,"",SUMIFS(Registro!$N:$N,Registro!$A:$A,S$3,Registro!$F:$F,$A7))</f>
        <v/>
      </c>
      <c r="T7" s="17" t="str">
        <f aca="false">IF(SUMIFS(Registro!$N:$N,Registro!$A:$A,T$3,Registro!$F:$F,$A7)=0,"",SUMIFS(Registro!$N:$N,Registro!$A:$A,T$3,Registro!$F:$F,$A7))</f>
        <v/>
      </c>
      <c r="U7" s="17" t="str">
        <f aca="false">IF(SUMIFS(Registro!$N:$N,Registro!$A:$A,U$3,Registro!$F:$F,$A7)=0,"",SUMIFS(Registro!$N:$N,Registro!$A:$A,U$3,Registro!$F:$F,$A7))</f>
        <v/>
      </c>
      <c r="V7" s="17" t="str">
        <f aca="false">IF(SUMIFS(Registro!$N:$N,Registro!$A:$A,V$3,Registro!$F:$F,$A7)=0,"",SUMIFS(Registro!$N:$N,Registro!$A:$A,V$3,Registro!$F:$F,$A7))</f>
        <v/>
      </c>
      <c r="W7" s="17" t="str">
        <f aca="false">IF(SUMIFS(Registro!$N:$N,Registro!$A:$A,W$3,Registro!$F:$F,$A7)=0,"",SUMIFS(Registro!$N:$N,Registro!$A:$A,W$3,Registro!$F:$F,$A7))</f>
        <v/>
      </c>
      <c r="X7" s="17" t="str">
        <f aca="false">IF(SUMIFS(Registro!$N:$N,Registro!$A:$A,X$3,Registro!$F:$F,$A7)=0,"",SUMIFS(Registro!$N:$N,Registro!$A:$A,X$3,Registro!$F:$F,$A7))</f>
        <v/>
      </c>
      <c r="Y7" s="17" t="str">
        <f aca="false">IF(SUMIFS(Registro!$N:$N,Registro!$A:$A,Y$3,Registro!$F:$F,$A7)=0,"",SUMIFS(Registro!$N:$N,Registro!$A:$A,Y$3,Registro!$F:$F,$A7))</f>
        <v/>
      </c>
      <c r="Z7" s="17" t="str">
        <f aca="false">IF(SUMIFS(Registro!$N:$N,Registro!$A:$A,Z$3,Registro!$F:$F,$A7)=0,"",SUMIFS(Registro!$N:$N,Registro!$A:$A,Z$3,Registro!$F:$F,$A7))</f>
        <v/>
      </c>
      <c r="AA7" s="17" t="str">
        <f aca="false">IF(SUMIFS(Registro!$N:$N,Registro!$A:$A,AA$3,Registro!$F:$F,$A7)=0,"",SUMIFS(Registro!$N:$N,Registro!$A:$A,AA$3,Registro!$F:$F,$A7))</f>
        <v/>
      </c>
      <c r="AB7" s="17" t="str">
        <f aca="false">IF(SUMIFS(Registro!$N:$N,Registro!$A:$A,AB$3,Registro!$F:$F,$A7)=0,"",SUMIFS(Registro!$N:$N,Registro!$A:$A,AB$3,Registro!$F:$F,$A7))</f>
        <v/>
      </c>
      <c r="AC7" s="17" t="str">
        <f aca="false">IF(SUMIFS(Registro!$N:$N,Registro!$A:$A,AC$3,Registro!$F:$F,$A7)=0,"",SUMIFS(Registro!$N:$N,Registro!$A:$A,AC$3,Registro!$F:$F,$A7))</f>
        <v/>
      </c>
      <c r="AD7" s="17" t="str">
        <f aca="false">IF(SUMIFS(Registro!$N:$N,Registro!$A:$A,AD$3,Registro!$F:$F,$A7)=0,"",SUMIFS(Registro!$N:$N,Registro!$A:$A,AD$3,Registro!$F:$F,$A7))</f>
        <v/>
      </c>
      <c r="AE7" s="17" t="str">
        <f aca="false">IF(SUMIFS(Registro!$N:$N,Registro!$A:$A,AE$3,Registro!$F:$F,$A7)=0,"",SUMIFS(Registro!$N:$N,Registro!$A:$A,AE$3,Registro!$F:$F,$A7))</f>
        <v/>
      </c>
      <c r="AF7" s="17" t="str">
        <f aca="false">IF(SUMIFS(Registro!$N:$N,Registro!$A:$A,AF$3,Registro!$F:$F,$A7)=0,"",SUMIFS(Registro!$N:$N,Registro!$A:$A,AF$3,Registro!$F:$F,$A7))</f>
        <v/>
      </c>
      <c r="AG7" s="17" t="str">
        <f aca="false">IF(SUMIFS(Registro!$N:$N,Registro!$A:$A,AG$3,Registro!$F:$F,$A7)=0,"",SUMIFS(Registro!$N:$N,Registro!$A:$A,AG$3,Registro!$F:$F,$A7))</f>
        <v/>
      </c>
      <c r="AH7" s="17" t="str">
        <f aca="false">IF(SUMIFS(Registro!$N:$N,Registro!$A:$A,AH$3,Registro!$F:$F,$A7)=0,"",SUMIFS(Registro!$N:$N,Registro!$A:$A,AH$3,Registro!$F:$F,$A7))</f>
        <v/>
      </c>
      <c r="AI7" s="17" t="str">
        <f aca="false">IF(SUMIFS(Registro!$N:$N,Registro!$A:$A,AI$3,Registro!$F:$F,$A7)=0,"",SUMIFS(Registro!$N:$N,Registro!$A:$A,AI$3,Registro!$F:$F,$A7))</f>
        <v/>
      </c>
      <c r="AJ7" s="17" t="str">
        <f aca="false">IF(SUMIFS(Registro!$N:$N,Registro!$A:$A,AJ$3,Registro!$F:$F,$A7)=0,"",SUMIFS(Registro!$N:$N,Registro!$A:$A,AJ$3,Registro!$F:$F,$A7))</f>
        <v/>
      </c>
      <c r="AK7" s="17" t="str">
        <f aca="false">IF(SUMIFS(Registro!$N:$N,Registro!$A:$A,AK$3,Registro!$F:$F,$A7)=0,"",SUMIFS(Registro!$N:$N,Registro!$A:$A,AK$3,Registro!$F:$F,$A7))</f>
        <v/>
      </c>
      <c r="AL7" s="17" t="str">
        <f aca="false">IF(SUMIFS(Registro!$N:$N,Registro!$A:$A,AL$3,Registro!$F:$F,$A7)=0,"",SUMIFS(Registro!$N:$N,Registro!$A:$A,AL$3,Registro!$F:$F,$A7))</f>
        <v/>
      </c>
      <c r="AM7" s="17" t="str">
        <f aca="false">IF(SUMIFS(Registro!$N:$N,Registro!$A:$A,AM$3,Registro!$F:$F,$A7)=0,"",SUMIFS(Registro!$N:$N,Registro!$A:$A,AM$3,Registro!$F:$F,$A7))</f>
        <v/>
      </c>
      <c r="AN7" s="17" t="str">
        <f aca="false">IF(SUMIFS(Registro!$N:$N,Registro!$A:$A,AN$3,Registro!$F:$F,$A7)=0,"",SUMIFS(Registro!$N:$N,Registro!$A:$A,AN$3,Registro!$F:$F,$A7))</f>
        <v/>
      </c>
    </row>
    <row r="8" customFormat="false" ht="15" hidden="false" customHeight="false" outlineLevel="0" collapsed="false">
      <c r="A8" s="22" t="str">
        <f aca="false">Jugadores!$B$8</f>
        <v>Jugador 4</v>
      </c>
      <c r="B8" s="17" t="str">
        <f aca="false">IF(SUMIFS(Registro!$N:$N,Registro!$A:$A,B$3,Registro!$F:$F,$A8)=0,"",SUMIFS(Registro!$N:$N,Registro!$A:$A,B$3,Registro!$F:$F,$A8))</f>
        <v/>
      </c>
      <c r="C8" s="17" t="str">
        <f aca="false">IF(SUMIFS(Registro!$N:$N,Registro!$A:$A,C$3,Registro!$F:$F,$A8)=0,"",SUMIFS(Registro!$N:$N,Registro!$A:$A,C$3,Registro!$F:$F,$A8))</f>
        <v/>
      </c>
      <c r="D8" s="17" t="str">
        <f aca="false">IF(SUMIFS(Registro!$N:$N,Registro!$A:$A,D$3,Registro!$F:$F,$A8)=0,"",SUMIFS(Registro!$N:$N,Registro!$A:$A,D$3,Registro!$F:$F,$A8))</f>
        <v/>
      </c>
      <c r="E8" s="17" t="str">
        <f aca="false">IF(SUMIFS(Registro!$N:$N,Registro!$A:$A,E$3,Registro!$F:$F,$A8)=0,"",SUMIFS(Registro!$N:$N,Registro!$A:$A,E$3,Registro!$F:$F,$A8))</f>
        <v/>
      </c>
      <c r="F8" s="17" t="str">
        <f aca="false">IF(SUMIFS(Registro!$N:$N,Registro!$A:$A,F$3,Registro!$F:$F,$A8)=0,"",SUMIFS(Registro!$N:$N,Registro!$A:$A,F$3,Registro!$F:$F,$A8))</f>
        <v/>
      </c>
      <c r="G8" s="17" t="str">
        <f aca="false">IF(SUMIFS(Registro!$N:$N,Registro!$A:$A,G$3,Registro!$F:$F,$A8)=0,"",SUMIFS(Registro!$N:$N,Registro!$A:$A,G$3,Registro!$F:$F,$A8))</f>
        <v/>
      </c>
      <c r="H8" s="17" t="str">
        <f aca="false">IF(SUMIFS(Registro!$N:$N,Registro!$A:$A,H$3,Registro!$F:$F,$A8)=0,"",SUMIFS(Registro!$N:$N,Registro!$A:$A,H$3,Registro!$F:$F,$A8))</f>
        <v/>
      </c>
      <c r="I8" s="17" t="str">
        <f aca="false">IF(SUMIFS(Registro!$N:$N,Registro!$A:$A,I$3,Registro!$F:$F,$A8)=0,"",SUMIFS(Registro!$N:$N,Registro!$A:$A,I$3,Registro!$F:$F,$A8))</f>
        <v/>
      </c>
      <c r="J8" s="17" t="str">
        <f aca="false">IF(SUMIFS(Registro!$N:$N,Registro!$A:$A,J$3,Registro!$F:$F,$A8)=0,"",SUMIFS(Registro!$N:$N,Registro!$A:$A,J$3,Registro!$F:$F,$A8))</f>
        <v/>
      </c>
      <c r="K8" s="17" t="str">
        <f aca="false">IF(SUMIFS(Registro!$N:$N,Registro!$A:$A,K$3,Registro!$F:$F,$A8)=0,"",SUMIFS(Registro!$N:$N,Registro!$A:$A,K$3,Registro!$F:$F,$A8))</f>
        <v/>
      </c>
      <c r="L8" s="17" t="str">
        <f aca="false">IF(SUMIFS(Registro!$N:$N,Registro!$A:$A,L$3,Registro!$F:$F,$A8)=0,"",SUMIFS(Registro!$N:$N,Registro!$A:$A,L$3,Registro!$F:$F,$A8))</f>
        <v/>
      </c>
      <c r="M8" s="17" t="str">
        <f aca="false">IF(SUMIFS(Registro!$N:$N,Registro!$A:$A,M$3,Registro!$F:$F,$A8)=0,"",SUMIFS(Registro!$N:$N,Registro!$A:$A,M$3,Registro!$F:$F,$A8))</f>
        <v/>
      </c>
      <c r="N8" s="17" t="str">
        <f aca="false">IF(SUMIFS(Registro!$N:$N,Registro!$A:$A,N$3,Registro!$F:$F,$A8)=0,"",SUMIFS(Registro!$N:$N,Registro!$A:$A,N$3,Registro!$F:$F,$A8))</f>
        <v/>
      </c>
      <c r="O8" s="17" t="str">
        <f aca="false">IF(SUMIFS(Registro!$N:$N,Registro!$A:$A,O$3,Registro!$F:$F,$A8)=0,"",SUMIFS(Registro!$N:$N,Registro!$A:$A,O$3,Registro!$F:$F,$A8))</f>
        <v/>
      </c>
      <c r="P8" s="17" t="str">
        <f aca="false">IF(SUMIFS(Registro!$N:$N,Registro!$A:$A,P$3,Registro!$F:$F,$A8)=0,"",SUMIFS(Registro!$N:$N,Registro!$A:$A,P$3,Registro!$F:$F,$A8))</f>
        <v/>
      </c>
      <c r="Q8" s="17" t="str">
        <f aca="false">IF(SUMIFS(Registro!$N:$N,Registro!$A:$A,Q$3,Registro!$F:$F,$A8)=0,"",SUMIFS(Registro!$N:$N,Registro!$A:$A,Q$3,Registro!$F:$F,$A8))</f>
        <v/>
      </c>
      <c r="R8" s="17" t="str">
        <f aca="false">IF(SUMIFS(Registro!$N:$N,Registro!$A:$A,R$3,Registro!$F:$F,$A8)=0,"",SUMIFS(Registro!$N:$N,Registro!$A:$A,R$3,Registro!$F:$F,$A8))</f>
        <v/>
      </c>
      <c r="S8" s="17" t="str">
        <f aca="false">IF(SUMIFS(Registro!$N:$N,Registro!$A:$A,S$3,Registro!$F:$F,$A8)=0,"",SUMIFS(Registro!$N:$N,Registro!$A:$A,S$3,Registro!$F:$F,$A8))</f>
        <v/>
      </c>
      <c r="T8" s="17" t="str">
        <f aca="false">IF(SUMIFS(Registro!$N:$N,Registro!$A:$A,T$3,Registro!$F:$F,$A8)=0,"",SUMIFS(Registro!$N:$N,Registro!$A:$A,T$3,Registro!$F:$F,$A8))</f>
        <v/>
      </c>
      <c r="U8" s="17" t="str">
        <f aca="false">IF(SUMIFS(Registro!$N:$N,Registro!$A:$A,U$3,Registro!$F:$F,$A8)=0,"",SUMIFS(Registro!$N:$N,Registro!$A:$A,U$3,Registro!$F:$F,$A8))</f>
        <v/>
      </c>
      <c r="V8" s="17" t="str">
        <f aca="false">IF(SUMIFS(Registro!$N:$N,Registro!$A:$A,V$3,Registro!$F:$F,$A8)=0,"",SUMIFS(Registro!$N:$N,Registro!$A:$A,V$3,Registro!$F:$F,$A8))</f>
        <v/>
      </c>
      <c r="W8" s="17" t="str">
        <f aca="false">IF(SUMIFS(Registro!$N:$N,Registro!$A:$A,W$3,Registro!$F:$F,$A8)=0,"",SUMIFS(Registro!$N:$N,Registro!$A:$A,W$3,Registro!$F:$F,$A8))</f>
        <v/>
      </c>
      <c r="X8" s="17" t="str">
        <f aca="false">IF(SUMIFS(Registro!$N:$N,Registro!$A:$A,X$3,Registro!$F:$F,$A8)=0,"",SUMIFS(Registro!$N:$N,Registro!$A:$A,X$3,Registro!$F:$F,$A8))</f>
        <v/>
      </c>
      <c r="Y8" s="17" t="str">
        <f aca="false">IF(SUMIFS(Registro!$N:$N,Registro!$A:$A,Y$3,Registro!$F:$F,$A8)=0,"",SUMIFS(Registro!$N:$N,Registro!$A:$A,Y$3,Registro!$F:$F,$A8))</f>
        <v/>
      </c>
      <c r="Z8" s="17" t="str">
        <f aca="false">IF(SUMIFS(Registro!$N:$N,Registro!$A:$A,Z$3,Registro!$F:$F,$A8)=0,"",SUMIFS(Registro!$N:$N,Registro!$A:$A,Z$3,Registro!$F:$F,$A8))</f>
        <v/>
      </c>
      <c r="AA8" s="17" t="str">
        <f aca="false">IF(SUMIFS(Registro!$N:$N,Registro!$A:$A,AA$3,Registro!$F:$F,$A8)=0,"",SUMIFS(Registro!$N:$N,Registro!$A:$A,AA$3,Registro!$F:$F,$A8))</f>
        <v/>
      </c>
      <c r="AB8" s="17" t="str">
        <f aca="false">IF(SUMIFS(Registro!$N:$N,Registro!$A:$A,AB$3,Registro!$F:$F,$A8)=0,"",SUMIFS(Registro!$N:$N,Registro!$A:$A,AB$3,Registro!$F:$F,$A8))</f>
        <v/>
      </c>
      <c r="AC8" s="17" t="str">
        <f aca="false">IF(SUMIFS(Registro!$N:$N,Registro!$A:$A,AC$3,Registro!$F:$F,$A8)=0,"",SUMIFS(Registro!$N:$N,Registro!$A:$A,AC$3,Registro!$F:$F,$A8))</f>
        <v/>
      </c>
      <c r="AD8" s="17" t="str">
        <f aca="false">IF(SUMIFS(Registro!$N:$N,Registro!$A:$A,AD$3,Registro!$F:$F,$A8)=0,"",SUMIFS(Registro!$N:$N,Registro!$A:$A,AD$3,Registro!$F:$F,$A8))</f>
        <v/>
      </c>
      <c r="AE8" s="17" t="str">
        <f aca="false">IF(SUMIFS(Registro!$N:$N,Registro!$A:$A,AE$3,Registro!$F:$F,$A8)=0,"",SUMIFS(Registro!$N:$N,Registro!$A:$A,AE$3,Registro!$F:$F,$A8))</f>
        <v/>
      </c>
      <c r="AF8" s="17" t="str">
        <f aca="false">IF(SUMIFS(Registro!$N:$N,Registro!$A:$A,AF$3,Registro!$F:$F,$A8)=0,"",SUMIFS(Registro!$N:$N,Registro!$A:$A,AF$3,Registro!$F:$F,$A8))</f>
        <v/>
      </c>
      <c r="AG8" s="17" t="str">
        <f aca="false">IF(SUMIFS(Registro!$N:$N,Registro!$A:$A,AG$3,Registro!$F:$F,$A8)=0,"",SUMIFS(Registro!$N:$N,Registro!$A:$A,AG$3,Registro!$F:$F,$A8))</f>
        <v/>
      </c>
      <c r="AH8" s="17" t="str">
        <f aca="false">IF(SUMIFS(Registro!$N:$N,Registro!$A:$A,AH$3,Registro!$F:$F,$A8)=0,"",SUMIFS(Registro!$N:$N,Registro!$A:$A,AH$3,Registro!$F:$F,$A8))</f>
        <v/>
      </c>
      <c r="AI8" s="17" t="str">
        <f aca="false">IF(SUMIFS(Registro!$N:$N,Registro!$A:$A,AI$3,Registro!$F:$F,$A8)=0,"",SUMIFS(Registro!$N:$N,Registro!$A:$A,AI$3,Registro!$F:$F,$A8))</f>
        <v/>
      </c>
      <c r="AJ8" s="17" t="str">
        <f aca="false">IF(SUMIFS(Registro!$N:$N,Registro!$A:$A,AJ$3,Registro!$F:$F,$A8)=0,"",SUMIFS(Registro!$N:$N,Registro!$A:$A,AJ$3,Registro!$F:$F,$A8))</f>
        <v/>
      </c>
      <c r="AK8" s="17" t="str">
        <f aca="false">IF(SUMIFS(Registro!$N:$N,Registro!$A:$A,AK$3,Registro!$F:$F,$A8)=0,"",SUMIFS(Registro!$N:$N,Registro!$A:$A,AK$3,Registro!$F:$F,$A8))</f>
        <v/>
      </c>
      <c r="AL8" s="17" t="str">
        <f aca="false">IF(SUMIFS(Registro!$N:$N,Registro!$A:$A,AL$3,Registro!$F:$F,$A8)=0,"",SUMIFS(Registro!$N:$N,Registro!$A:$A,AL$3,Registro!$F:$F,$A8))</f>
        <v/>
      </c>
      <c r="AM8" s="17" t="str">
        <f aca="false">IF(SUMIFS(Registro!$N:$N,Registro!$A:$A,AM$3,Registro!$F:$F,$A8)=0,"",SUMIFS(Registro!$N:$N,Registro!$A:$A,AM$3,Registro!$F:$F,$A8))</f>
        <v/>
      </c>
      <c r="AN8" s="17" t="str">
        <f aca="false">IF(SUMIFS(Registro!$N:$N,Registro!$A:$A,AN$3,Registro!$F:$F,$A8)=0,"",SUMIFS(Registro!$N:$N,Registro!$A:$A,AN$3,Registro!$F:$F,$A8))</f>
        <v/>
      </c>
    </row>
    <row r="9" customFormat="false" ht="15" hidden="false" customHeight="false" outlineLevel="0" collapsed="false">
      <c r="A9" s="22" t="str">
        <f aca="false">Jugadores!$B$9</f>
        <v>Jugador 5</v>
      </c>
      <c r="B9" s="17" t="str">
        <f aca="false">IF(SUMIFS(Registro!$N:$N,Registro!$A:$A,B$3,Registro!$F:$F,$A9)=0,"",SUMIFS(Registro!$N:$N,Registro!$A:$A,B$3,Registro!$F:$F,$A9))</f>
        <v/>
      </c>
      <c r="C9" s="17" t="str">
        <f aca="false">IF(SUMIFS(Registro!$N:$N,Registro!$A:$A,C$3,Registro!$F:$F,$A9)=0,"",SUMIFS(Registro!$N:$N,Registro!$A:$A,C$3,Registro!$F:$F,$A9))</f>
        <v/>
      </c>
      <c r="D9" s="17" t="str">
        <f aca="false">IF(SUMIFS(Registro!$N:$N,Registro!$A:$A,D$3,Registro!$F:$F,$A9)=0,"",SUMIFS(Registro!$N:$N,Registro!$A:$A,D$3,Registro!$F:$F,$A9))</f>
        <v/>
      </c>
      <c r="E9" s="17" t="str">
        <f aca="false">IF(SUMIFS(Registro!$N:$N,Registro!$A:$A,E$3,Registro!$F:$F,$A9)=0,"",SUMIFS(Registro!$N:$N,Registro!$A:$A,E$3,Registro!$F:$F,$A9))</f>
        <v/>
      </c>
      <c r="F9" s="17" t="str">
        <f aca="false">IF(SUMIFS(Registro!$N:$N,Registro!$A:$A,F$3,Registro!$F:$F,$A9)=0,"",SUMIFS(Registro!$N:$N,Registro!$A:$A,F$3,Registro!$F:$F,$A9))</f>
        <v/>
      </c>
      <c r="G9" s="17" t="str">
        <f aca="false">IF(SUMIFS(Registro!$N:$N,Registro!$A:$A,G$3,Registro!$F:$F,$A9)=0,"",SUMIFS(Registro!$N:$N,Registro!$A:$A,G$3,Registro!$F:$F,$A9))</f>
        <v/>
      </c>
      <c r="H9" s="17" t="str">
        <f aca="false">IF(SUMIFS(Registro!$N:$N,Registro!$A:$A,H$3,Registro!$F:$F,$A9)=0,"",SUMIFS(Registro!$N:$N,Registro!$A:$A,H$3,Registro!$F:$F,$A9))</f>
        <v/>
      </c>
      <c r="I9" s="17" t="str">
        <f aca="false">IF(SUMIFS(Registro!$N:$N,Registro!$A:$A,I$3,Registro!$F:$F,$A9)=0,"",SUMIFS(Registro!$N:$N,Registro!$A:$A,I$3,Registro!$F:$F,$A9))</f>
        <v/>
      </c>
      <c r="J9" s="17" t="str">
        <f aca="false">IF(SUMIFS(Registro!$N:$N,Registro!$A:$A,J$3,Registro!$F:$F,$A9)=0,"",SUMIFS(Registro!$N:$N,Registro!$A:$A,J$3,Registro!$F:$F,$A9))</f>
        <v/>
      </c>
      <c r="K9" s="17" t="str">
        <f aca="false">IF(SUMIFS(Registro!$N:$N,Registro!$A:$A,K$3,Registro!$F:$F,$A9)=0,"",SUMIFS(Registro!$N:$N,Registro!$A:$A,K$3,Registro!$F:$F,$A9))</f>
        <v/>
      </c>
      <c r="L9" s="17" t="str">
        <f aca="false">IF(SUMIFS(Registro!$N:$N,Registro!$A:$A,L$3,Registro!$F:$F,$A9)=0,"",SUMIFS(Registro!$N:$N,Registro!$A:$A,L$3,Registro!$F:$F,$A9))</f>
        <v/>
      </c>
      <c r="M9" s="17" t="str">
        <f aca="false">IF(SUMIFS(Registro!$N:$N,Registro!$A:$A,M$3,Registro!$F:$F,$A9)=0,"",SUMIFS(Registro!$N:$N,Registro!$A:$A,M$3,Registro!$F:$F,$A9))</f>
        <v/>
      </c>
      <c r="N9" s="17" t="str">
        <f aca="false">IF(SUMIFS(Registro!$N:$N,Registro!$A:$A,N$3,Registro!$F:$F,$A9)=0,"",SUMIFS(Registro!$N:$N,Registro!$A:$A,N$3,Registro!$F:$F,$A9))</f>
        <v/>
      </c>
      <c r="O9" s="17" t="str">
        <f aca="false">IF(SUMIFS(Registro!$N:$N,Registro!$A:$A,O$3,Registro!$F:$F,$A9)=0,"",SUMIFS(Registro!$N:$N,Registro!$A:$A,O$3,Registro!$F:$F,$A9))</f>
        <v/>
      </c>
      <c r="P9" s="17" t="str">
        <f aca="false">IF(SUMIFS(Registro!$N:$N,Registro!$A:$A,P$3,Registro!$F:$F,$A9)=0,"",SUMIFS(Registro!$N:$N,Registro!$A:$A,P$3,Registro!$F:$F,$A9))</f>
        <v/>
      </c>
      <c r="Q9" s="17" t="str">
        <f aca="false">IF(SUMIFS(Registro!$N:$N,Registro!$A:$A,Q$3,Registro!$F:$F,$A9)=0,"",SUMIFS(Registro!$N:$N,Registro!$A:$A,Q$3,Registro!$F:$F,$A9))</f>
        <v/>
      </c>
      <c r="R9" s="17" t="str">
        <f aca="false">IF(SUMIFS(Registro!$N:$N,Registro!$A:$A,R$3,Registro!$F:$F,$A9)=0,"",SUMIFS(Registro!$N:$N,Registro!$A:$A,R$3,Registro!$F:$F,$A9))</f>
        <v/>
      </c>
      <c r="S9" s="17" t="str">
        <f aca="false">IF(SUMIFS(Registro!$N:$N,Registro!$A:$A,S$3,Registro!$F:$F,$A9)=0,"",SUMIFS(Registro!$N:$N,Registro!$A:$A,S$3,Registro!$F:$F,$A9))</f>
        <v/>
      </c>
      <c r="T9" s="17" t="str">
        <f aca="false">IF(SUMIFS(Registro!$N:$N,Registro!$A:$A,T$3,Registro!$F:$F,$A9)=0,"",SUMIFS(Registro!$N:$N,Registro!$A:$A,T$3,Registro!$F:$F,$A9))</f>
        <v/>
      </c>
      <c r="U9" s="17" t="str">
        <f aca="false">IF(SUMIFS(Registro!$N:$N,Registro!$A:$A,U$3,Registro!$F:$F,$A9)=0,"",SUMIFS(Registro!$N:$N,Registro!$A:$A,U$3,Registro!$F:$F,$A9))</f>
        <v/>
      </c>
      <c r="V9" s="17" t="str">
        <f aca="false">IF(SUMIFS(Registro!$N:$N,Registro!$A:$A,V$3,Registro!$F:$F,$A9)=0,"",SUMIFS(Registro!$N:$N,Registro!$A:$A,V$3,Registro!$F:$F,$A9))</f>
        <v/>
      </c>
      <c r="W9" s="17" t="str">
        <f aca="false">IF(SUMIFS(Registro!$N:$N,Registro!$A:$A,W$3,Registro!$F:$F,$A9)=0,"",SUMIFS(Registro!$N:$N,Registro!$A:$A,W$3,Registro!$F:$F,$A9))</f>
        <v/>
      </c>
      <c r="X9" s="17" t="str">
        <f aca="false">IF(SUMIFS(Registro!$N:$N,Registro!$A:$A,X$3,Registro!$F:$F,$A9)=0,"",SUMIFS(Registro!$N:$N,Registro!$A:$A,X$3,Registro!$F:$F,$A9))</f>
        <v/>
      </c>
      <c r="Y9" s="17" t="str">
        <f aca="false">IF(SUMIFS(Registro!$N:$N,Registro!$A:$A,Y$3,Registro!$F:$F,$A9)=0,"",SUMIFS(Registro!$N:$N,Registro!$A:$A,Y$3,Registro!$F:$F,$A9))</f>
        <v/>
      </c>
      <c r="Z9" s="17" t="str">
        <f aca="false">IF(SUMIFS(Registro!$N:$N,Registro!$A:$A,Z$3,Registro!$F:$F,$A9)=0,"",SUMIFS(Registro!$N:$N,Registro!$A:$A,Z$3,Registro!$F:$F,$A9))</f>
        <v/>
      </c>
      <c r="AA9" s="17" t="str">
        <f aca="false">IF(SUMIFS(Registro!$N:$N,Registro!$A:$A,AA$3,Registro!$F:$F,$A9)=0,"",SUMIFS(Registro!$N:$N,Registro!$A:$A,AA$3,Registro!$F:$F,$A9))</f>
        <v/>
      </c>
      <c r="AB9" s="17" t="str">
        <f aca="false">IF(SUMIFS(Registro!$N:$N,Registro!$A:$A,AB$3,Registro!$F:$F,$A9)=0,"",SUMIFS(Registro!$N:$N,Registro!$A:$A,AB$3,Registro!$F:$F,$A9))</f>
        <v/>
      </c>
      <c r="AC9" s="17" t="str">
        <f aca="false">IF(SUMIFS(Registro!$N:$N,Registro!$A:$A,AC$3,Registro!$F:$F,$A9)=0,"",SUMIFS(Registro!$N:$N,Registro!$A:$A,AC$3,Registro!$F:$F,$A9))</f>
        <v/>
      </c>
      <c r="AD9" s="17" t="str">
        <f aca="false">IF(SUMIFS(Registro!$N:$N,Registro!$A:$A,AD$3,Registro!$F:$F,$A9)=0,"",SUMIFS(Registro!$N:$N,Registro!$A:$A,AD$3,Registro!$F:$F,$A9))</f>
        <v/>
      </c>
      <c r="AE9" s="17" t="str">
        <f aca="false">IF(SUMIFS(Registro!$N:$N,Registro!$A:$A,AE$3,Registro!$F:$F,$A9)=0,"",SUMIFS(Registro!$N:$N,Registro!$A:$A,AE$3,Registro!$F:$F,$A9))</f>
        <v/>
      </c>
      <c r="AF9" s="17" t="str">
        <f aca="false">IF(SUMIFS(Registro!$N:$N,Registro!$A:$A,AF$3,Registro!$F:$F,$A9)=0,"",SUMIFS(Registro!$N:$N,Registro!$A:$A,AF$3,Registro!$F:$F,$A9))</f>
        <v/>
      </c>
      <c r="AG9" s="17" t="str">
        <f aca="false">IF(SUMIFS(Registro!$N:$N,Registro!$A:$A,AG$3,Registro!$F:$F,$A9)=0,"",SUMIFS(Registro!$N:$N,Registro!$A:$A,AG$3,Registro!$F:$F,$A9))</f>
        <v/>
      </c>
      <c r="AH9" s="17" t="str">
        <f aca="false">IF(SUMIFS(Registro!$N:$N,Registro!$A:$A,AH$3,Registro!$F:$F,$A9)=0,"",SUMIFS(Registro!$N:$N,Registro!$A:$A,AH$3,Registro!$F:$F,$A9))</f>
        <v/>
      </c>
      <c r="AI9" s="17" t="str">
        <f aca="false">IF(SUMIFS(Registro!$N:$N,Registro!$A:$A,AI$3,Registro!$F:$F,$A9)=0,"",SUMIFS(Registro!$N:$N,Registro!$A:$A,AI$3,Registro!$F:$F,$A9))</f>
        <v/>
      </c>
      <c r="AJ9" s="17" t="str">
        <f aca="false">IF(SUMIFS(Registro!$N:$N,Registro!$A:$A,AJ$3,Registro!$F:$F,$A9)=0,"",SUMIFS(Registro!$N:$N,Registro!$A:$A,AJ$3,Registro!$F:$F,$A9))</f>
        <v/>
      </c>
      <c r="AK9" s="17" t="str">
        <f aca="false">IF(SUMIFS(Registro!$N:$N,Registro!$A:$A,AK$3,Registro!$F:$F,$A9)=0,"",SUMIFS(Registro!$N:$N,Registro!$A:$A,AK$3,Registro!$F:$F,$A9))</f>
        <v/>
      </c>
      <c r="AL9" s="17" t="str">
        <f aca="false">IF(SUMIFS(Registro!$N:$N,Registro!$A:$A,AL$3,Registro!$F:$F,$A9)=0,"",SUMIFS(Registro!$N:$N,Registro!$A:$A,AL$3,Registro!$F:$F,$A9))</f>
        <v/>
      </c>
      <c r="AM9" s="17" t="str">
        <f aca="false">IF(SUMIFS(Registro!$N:$N,Registro!$A:$A,AM$3,Registro!$F:$F,$A9)=0,"",SUMIFS(Registro!$N:$N,Registro!$A:$A,AM$3,Registro!$F:$F,$A9))</f>
        <v/>
      </c>
      <c r="AN9" s="17" t="str">
        <f aca="false">IF(SUMIFS(Registro!$N:$N,Registro!$A:$A,AN$3,Registro!$F:$F,$A9)=0,"",SUMIFS(Registro!$N:$N,Registro!$A:$A,AN$3,Registro!$F:$F,$A9))</f>
        <v/>
      </c>
    </row>
    <row r="10" customFormat="false" ht="15" hidden="false" customHeight="false" outlineLevel="0" collapsed="false">
      <c r="A10" s="22" t="str">
        <f aca="false">Jugadores!$B$10</f>
        <v>Jugador 6</v>
      </c>
      <c r="B10" s="17" t="str">
        <f aca="false">IF(SUMIFS(Registro!$N:$N,Registro!$A:$A,B$3,Registro!$F:$F,$A10)=0,"",SUMIFS(Registro!$N:$N,Registro!$A:$A,B$3,Registro!$F:$F,$A10))</f>
        <v/>
      </c>
      <c r="C10" s="17" t="str">
        <f aca="false">IF(SUMIFS(Registro!$N:$N,Registro!$A:$A,C$3,Registro!$F:$F,$A10)=0,"",SUMIFS(Registro!$N:$N,Registro!$A:$A,C$3,Registro!$F:$F,$A10))</f>
        <v/>
      </c>
      <c r="D10" s="17" t="str">
        <f aca="false">IF(SUMIFS(Registro!$N:$N,Registro!$A:$A,D$3,Registro!$F:$F,$A10)=0,"",SUMIFS(Registro!$N:$N,Registro!$A:$A,D$3,Registro!$F:$F,$A10))</f>
        <v/>
      </c>
      <c r="E10" s="17" t="str">
        <f aca="false">IF(SUMIFS(Registro!$N:$N,Registro!$A:$A,E$3,Registro!$F:$F,$A10)=0,"",SUMIFS(Registro!$N:$N,Registro!$A:$A,E$3,Registro!$F:$F,$A10))</f>
        <v/>
      </c>
      <c r="F10" s="17" t="str">
        <f aca="false">IF(SUMIFS(Registro!$N:$N,Registro!$A:$A,F$3,Registro!$F:$F,$A10)=0,"",SUMIFS(Registro!$N:$N,Registro!$A:$A,F$3,Registro!$F:$F,$A10))</f>
        <v/>
      </c>
      <c r="G10" s="17" t="str">
        <f aca="false">IF(SUMIFS(Registro!$N:$N,Registro!$A:$A,G$3,Registro!$F:$F,$A10)=0,"",SUMIFS(Registro!$N:$N,Registro!$A:$A,G$3,Registro!$F:$F,$A10))</f>
        <v/>
      </c>
      <c r="H10" s="17" t="str">
        <f aca="false">IF(SUMIFS(Registro!$N:$N,Registro!$A:$A,H$3,Registro!$F:$F,$A10)=0,"",SUMIFS(Registro!$N:$N,Registro!$A:$A,H$3,Registro!$F:$F,$A10))</f>
        <v/>
      </c>
      <c r="I10" s="17" t="str">
        <f aca="false">IF(SUMIFS(Registro!$N:$N,Registro!$A:$A,I$3,Registro!$F:$F,$A10)=0,"",SUMIFS(Registro!$N:$N,Registro!$A:$A,I$3,Registro!$F:$F,$A10))</f>
        <v/>
      </c>
      <c r="J10" s="17" t="str">
        <f aca="false">IF(SUMIFS(Registro!$N:$N,Registro!$A:$A,J$3,Registro!$F:$F,$A10)=0,"",SUMIFS(Registro!$N:$N,Registro!$A:$A,J$3,Registro!$F:$F,$A10))</f>
        <v/>
      </c>
      <c r="K10" s="17" t="str">
        <f aca="false">IF(SUMIFS(Registro!$N:$N,Registro!$A:$A,K$3,Registro!$F:$F,$A10)=0,"",SUMIFS(Registro!$N:$N,Registro!$A:$A,K$3,Registro!$F:$F,$A10))</f>
        <v/>
      </c>
      <c r="L10" s="17" t="str">
        <f aca="false">IF(SUMIFS(Registro!$N:$N,Registro!$A:$A,L$3,Registro!$F:$F,$A10)=0,"",SUMIFS(Registro!$N:$N,Registro!$A:$A,L$3,Registro!$F:$F,$A10))</f>
        <v/>
      </c>
      <c r="M10" s="17" t="str">
        <f aca="false">IF(SUMIFS(Registro!$N:$N,Registro!$A:$A,M$3,Registro!$F:$F,$A10)=0,"",SUMIFS(Registro!$N:$N,Registro!$A:$A,M$3,Registro!$F:$F,$A10))</f>
        <v/>
      </c>
      <c r="N10" s="17" t="str">
        <f aca="false">IF(SUMIFS(Registro!$N:$N,Registro!$A:$A,N$3,Registro!$F:$F,$A10)=0,"",SUMIFS(Registro!$N:$N,Registro!$A:$A,N$3,Registro!$F:$F,$A10))</f>
        <v/>
      </c>
      <c r="O10" s="17" t="str">
        <f aca="false">IF(SUMIFS(Registro!$N:$N,Registro!$A:$A,O$3,Registro!$F:$F,$A10)=0,"",SUMIFS(Registro!$N:$N,Registro!$A:$A,O$3,Registro!$F:$F,$A10))</f>
        <v/>
      </c>
      <c r="P10" s="17" t="str">
        <f aca="false">IF(SUMIFS(Registro!$N:$N,Registro!$A:$A,P$3,Registro!$F:$F,$A10)=0,"",SUMIFS(Registro!$N:$N,Registro!$A:$A,P$3,Registro!$F:$F,$A10))</f>
        <v/>
      </c>
      <c r="Q10" s="17" t="str">
        <f aca="false">IF(SUMIFS(Registro!$N:$N,Registro!$A:$A,Q$3,Registro!$F:$F,$A10)=0,"",SUMIFS(Registro!$N:$N,Registro!$A:$A,Q$3,Registro!$F:$F,$A10))</f>
        <v/>
      </c>
      <c r="R10" s="17" t="str">
        <f aca="false">IF(SUMIFS(Registro!$N:$N,Registro!$A:$A,R$3,Registro!$F:$F,$A10)=0,"",SUMIFS(Registro!$N:$N,Registro!$A:$A,R$3,Registro!$F:$F,$A10))</f>
        <v/>
      </c>
      <c r="S10" s="17" t="str">
        <f aca="false">IF(SUMIFS(Registro!$N:$N,Registro!$A:$A,S$3,Registro!$F:$F,$A10)=0,"",SUMIFS(Registro!$N:$N,Registro!$A:$A,S$3,Registro!$F:$F,$A10))</f>
        <v/>
      </c>
      <c r="T10" s="17" t="str">
        <f aca="false">IF(SUMIFS(Registro!$N:$N,Registro!$A:$A,T$3,Registro!$F:$F,$A10)=0,"",SUMIFS(Registro!$N:$N,Registro!$A:$A,T$3,Registro!$F:$F,$A10))</f>
        <v/>
      </c>
      <c r="U10" s="17" t="str">
        <f aca="false">IF(SUMIFS(Registro!$N:$N,Registro!$A:$A,U$3,Registro!$F:$F,$A10)=0,"",SUMIFS(Registro!$N:$N,Registro!$A:$A,U$3,Registro!$F:$F,$A10))</f>
        <v/>
      </c>
      <c r="V10" s="17" t="str">
        <f aca="false">IF(SUMIFS(Registro!$N:$N,Registro!$A:$A,V$3,Registro!$F:$F,$A10)=0,"",SUMIFS(Registro!$N:$N,Registro!$A:$A,V$3,Registro!$F:$F,$A10))</f>
        <v/>
      </c>
      <c r="W10" s="17" t="str">
        <f aca="false">IF(SUMIFS(Registro!$N:$N,Registro!$A:$A,W$3,Registro!$F:$F,$A10)=0,"",SUMIFS(Registro!$N:$N,Registro!$A:$A,W$3,Registro!$F:$F,$A10))</f>
        <v/>
      </c>
      <c r="X10" s="17" t="str">
        <f aca="false">IF(SUMIFS(Registro!$N:$N,Registro!$A:$A,X$3,Registro!$F:$F,$A10)=0,"",SUMIFS(Registro!$N:$N,Registro!$A:$A,X$3,Registro!$F:$F,$A10))</f>
        <v/>
      </c>
      <c r="Y10" s="17" t="str">
        <f aca="false">IF(SUMIFS(Registro!$N:$N,Registro!$A:$A,Y$3,Registro!$F:$F,$A10)=0,"",SUMIFS(Registro!$N:$N,Registro!$A:$A,Y$3,Registro!$F:$F,$A10))</f>
        <v/>
      </c>
      <c r="Z10" s="17" t="str">
        <f aca="false">IF(SUMIFS(Registro!$N:$N,Registro!$A:$A,Z$3,Registro!$F:$F,$A10)=0,"",SUMIFS(Registro!$N:$N,Registro!$A:$A,Z$3,Registro!$F:$F,$A10))</f>
        <v/>
      </c>
      <c r="AA10" s="17" t="str">
        <f aca="false">IF(SUMIFS(Registro!$N:$N,Registro!$A:$A,AA$3,Registro!$F:$F,$A10)=0,"",SUMIFS(Registro!$N:$N,Registro!$A:$A,AA$3,Registro!$F:$F,$A10))</f>
        <v/>
      </c>
      <c r="AB10" s="17" t="str">
        <f aca="false">IF(SUMIFS(Registro!$N:$N,Registro!$A:$A,AB$3,Registro!$F:$F,$A10)=0,"",SUMIFS(Registro!$N:$N,Registro!$A:$A,AB$3,Registro!$F:$F,$A10))</f>
        <v/>
      </c>
      <c r="AC10" s="17" t="str">
        <f aca="false">IF(SUMIFS(Registro!$N:$N,Registro!$A:$A,AC$3,Registro!$F:$F,$A10)=0,"",SUMIFS(Registro!$N:$N,Registro!$A:$A,AC$3,Registro!$F:$F,$A10))</f>
        <v/>
      </c>
      <c r="AD10" s="17" t="str">
        <f aca="false">IF(SUMIFS(Registro!$N:$N,Registro!$A:$A,AD$3,Registro!$F:$F,$A10)=0,"",SUMIFS(Registro!$N:$N,Registro!$A:$A,AD$3,Registro!$F:$F,$A10))</f>
        <v/>
      </c>
      <c r="AE10" s="17" t="str">
        <f aca="false">IF(SUMIFS(Registro!$N:$N,Registro!$A:$A,AE$3,Registro!$F:$F,$A10)=0,"",SUMIFS(Registro!$N:$N,Registro!$A:$A,AE$3,Registro!$F:$F,$A10))</f>
        <v/>
      </c>
      <c r="AF10" s="17" t="str">
        <f aca="false">IF(SUMIFS(Registro!$N:$N,Registro!$A:$A,AF$3,Registro!$F:$F,$A10)=0,"",SUMIFS(Registro!$N:$N,Registro!$A:$A,AF$3,Registro!$F:$F,$A10))</f>
        <v/>
      </c>
      <c r="AG10" s="17" t="str">
        <f aca="false">IF(SUMIFS(Registro!$N:$N,Registro!$A:$A,AG$3,Registro!$F:$F,$A10)=0,"",SUMIFS(Registro!$N:$N,Registro!$A:$A,AG$3,Registro!$F:$F,$A10))</f>
        <v/>
      </c>
      <c r="AH10" s="17" t="str">
        <f aca="false">IF(SUMIFS(Registro!$N:$N,Registro!$A:$A,AH$3,Registro!$F:$F,$A10)=0,"",SUMIFS(Registro!$N:$N,Registro!$A:$A,AH$3,Registro!$F:$F,$A10))</f>
        <v/>
      </c>
      <c r="AI10" s="17" t="str">
        <f aca="false">IF(SUMIFS(Registro!$N:$N,Registro!$A:$A,AI$3,Registro!$F:$F,$A10)=0,"",SUMIFS(Registro!$N:$N,Registro!$A:$A,AI$3,Registro!$F:$F,$A10))</f>
        <v/>
      </c>
      <c r="AJ10" s="17" t="str">
        <f aca="false">IF(SUMIFS(Registro!$N:$N,Registro!$A:$A,AJ$3,Registro!$F:$F,$A10)=0,"",SUMIFS(Registro!$N:$N,Registro!$A:$A,AJ$3,Registro!$F:$F,$A10))</f>
        <v/>
      </c>
      <c r="AK10" s="17" t="str">
        <f aca="false">IF(SUMIFS(Registro!$N:$N,Registro!$A:$A,AK$3,Registro!$F:$F,$A10)=0,"",SUMIFS(Registro!$N:$N,Registro!$A:$A,AK$3,Registro!$F:$F,$A10))</f>
        <v/>
      </c>
      <c r="AL10" s="17" t="str">
        <f aca="false">IF(SUMIFS(Registro!$N:$N,Registro!$A:$A,AL$3,Registro!$F:$F,$A10)=0,"",SUMIFS(Registro!$N:$N,Registro!$A:$A,AL$3,Registro!$F:$F,$A10))</f>
        <v/>
      </c>
      <c r="AM10" s="17" t="str">
        <f aca="false">IF(SUMIFS(Registro!$N:$N,Registro!$A:$A,AM$3,Registro!$F:$F,$A10)=0,"",SUMIFS(Registro!$N:$N,Registro!$A:$A,AM$3,Registro!$F:$F,$A10))</f>
        <v/>
      </c>
      <c r="AN10" s="17" t="str">
        <f aca="false">IF(SUMIFS(Registro!$N:$N,Registro!$A:$A,AN$3,Registro!$F:$F,$A10)=0,"",SUMIFS(Registro!$N:$N,Registro!$A:$A,AN$3,Registro!$F:$F,$A10))</f>
        <v/>
      </c>
    </row>
    <row r="11" customFormat="false" ht="15" hidden="false" customHeight="false" outlineLevel="0" collapsed="false">
      <c r="A11" s="22" t="str">
        <f aca="false">Jugadores!$B$11</f>
        <v>Jugador 7</v>
      </c>
      <c r="B11" s="17" t="str">
        <f aca="false">IF(SUMIFS(Registro!$N:$N,Registro!$A:$A,B$3,Registro!$F:$F,$A11)=0,"",SUMIFS(Registro!$N:$N,Registro!$A:$A,B$3,Registro!$F:$F,$A11))</f>
        <v/>
      </c>
      <c r="C11" s="17" t="str">
        <f aca="false">IF(SUMIFS(Registro!$N:$N,Registro!$A:$A,C$3,Registro!$F:$F,$A11)=0,"",SUMIFS(Registro!$N:$N,Registro!$A:$A,C$3,Registro!$F:$F,$A11))</f>
        <v/>
      </c>
      <c r="D11" s="17" t="str">
        <f aca="false">IF(SUMIFS(Registro!$N:$N,Registro!$A:$A,D$3,Registro!$F:$F,$A11)=0,"",SUMIFS(Registro!$N:$N,Registro!$A:$A,D$3,Registro!$F:$F,$A11))</f>
        <v/>
      </c>
      <c r="E11" s="17" t="str">
        <f aca="false">IF(SUMIFS(Registro!$N:$N,Registro!$A:$A,E$3,Registro!$F:$F,$A11)=0,"",SUMIFS(Registro!$N:$N,Registro!$A:$A,E$3,Registro!$F:$F,$A11))</f>
        <v/>
      </c>
      <c r="F11" s="17" t="str">
        <f aca="false">IF(SUMIFS(Registro!$N:$N,Registro!$A:$A,F$3,Registro!$F:$F,$A11)=0,"",SUMIFS(Registro!$N:$N,Registro!$A:$A,F$3,Registro!$F:$F,$A11))</f>
        <v/>
      </c>
      <c r="G11" s="17" t="str">
        <f aca="false">IF(SUMIFS(Registro!$N:$N,Registro!$A:$A,G$3,Registro!$F:$F,$A11)=0,"",SUMIFS(Registro!$N:$N,Registro!$A:$A,G$3,Registro!$F:$F,$A11))</f>
        <v/>
      </c>
      <c r="H11" s="17" t="str">
        <f aca="false">IF(SUMIFS(Registro!$N:$N,Registro!$A:$A,H$3,Registro!$F:$F,$A11)=0,"",SUMIFS(Registro!$N:$N,Registro!$A:$A,H$3,Registro!$F:$F,$A11))</f>
        <v/>
      </c>
      <c r="I11" s="17" t="str">
        <f aca="false">IF(SUMIFS(Registro!$N:$N,Registro!$A:$A,I$3,Registro!$F:$F,$A11)=0,"",SUMIFS(Registro!$N:$N,Registro!$A:$A,I$3,Registro!$F:$F,$A11))</f>
        <v/>
      </c>
      <c r="J11" s="17" t="str">
        <f aca="false">IF(SUMIFS(Registro!$N:$N,Registro!$A:$A,J$3,Registro!$F:$F,$A11)=0,"",SUMIFS(Registro!$N:$N,Registro!$A:$A,J$3,Registro!$F:$F,$A11))</f>
        <v/>
      </c>
      <c r="K11" s="17" t="str">
        <f aca="false">IF(SUMIFS(Registro!$N:$N,Registro!$A:$A,K$3,Registro!$F:$F,$A11)=0,"",SUMIFS(Registro!$N:$N,Registro!$A:$A,K$3,Registro!$F:$F,$A11))</f>
        <v/>
      </c>
      <c r="L11" s="17" t="str">
        <f aca="false">IF(SUMIFS(Registro!$N:$N,Registro!$A:$A,L$3,Registro!$F:$F,$A11)=0,"",SUMIFS(Registro!$N:$N,Registro!$A:$A,L$3,Registro!$F:$F,$A11))</f>
        <v/>
      </c>
      <c r="M11" s="17" t="str">
        <f aca="false">IF(SUMIFS(Registro!$N:$N,Registro!$A:$A,M$3,Registro!$F:$F,$A11)=0,"",SUMIFS(Registro!$N:$N,Registro!$A:$A,M$3,Registro!$F:$F,$A11))</f>
        <v/>
      </c>
      <c r="N11" s="17" t="str">
        <f aca="false">IF(SUMIFS(Registro!$N:$N,Registro!$A:$A,N$3,Registro!$F:$F,$A11)=0,"",SUMIFS(Registro!$N:$N,Registro!$A:$A,N$3,Registro!$F:$F,$A11))</f>
        <v/>
      </c>
      <c r="O11" s="17" t="str">
        <f aca="false">IF(SUMIFS(Registro!$N:$N,Registro!$A:$A,O$3,Registro!$F:$F,$A11)=0,"",SUMIFS(Registro!$N:$N,Registro!$A:$A,O$3,Registro!$F:$F,$A11))</f>
        <v/>
      </c>
      <c r="P11" s="17" t="str">
        <f aca="false">IF(SUMIFS(Registro!$N:$N,Registro!$A:$A,P$3,Registro!$F:$F,$A11)=0,"",SUMIFS(Registro!$N:$N,Registro!$A:$A,P$3,Registro!$F:$F,$A11))</f>
        <v/>
      </c>
      <c r="Q11" s="17" t="str">
        <f aca="false">IF(SUMIFS(Registro!$N:$N,Registro!$A:$A,Q$3,Registro!$F:$F,$A11)=0,"",SUMIFS(Registro!$N:$N,Registro!$A:$A,Q$3,Registro!$F:$F,$A11))</f>
        <v/>
      </c>
      <c r="R11" s="17" t="str">
        <f aca="false">IF(SUMIFS(Registro!$N:$N,Registro!$A:$A,R$3,Registro!$F:$F,$A11)=0,"",SUMIFS(Registro!$N:$N,Registro!$A:$A,R$3,Registro!$F:$F,$A11))</f>
        <v/>
      </c>
      <c r="S11" s="17" t="str">
        <f aca="false">IF(SUMIFS(Registro!$N:$N,Registro!$A:$A,S$3,Registro!$F:$F,$A11)=0,"",SUMIFS(Registro!$N:$N,Registro!$A:$A,S$3,Registro!$F:$F,$A11))</f>
        <v/>
      </c>
      <c r="T11" s="17" t="str">
        <f aca="false">IF(SUMIFS(Registro!$N:$N,Registro!$A:$A,T$3,Registro!$F:$F,$A11)=0,"",SUMIFS(Registro!$N:$N,Registro!$A:$A,T$3,Registro!$F:$F,$A11))</f>
        <v/>
      </c>
      <c r="U11" s="17" t="str">
        <f aca="false">IF(SUMIFS(Registro!$N:$N,Registro!$A:$A,U$3,Registro!$F:$F,$A11)=0,"",SUMIFS(Registro!$N:$N,Registro!$A:$A,U$3,Registro!$F:$F,$A11))</f>
        <v/>
      </c>
      <c r="V11" s="17" t="str">
        <f aca="false">IF(SUMIFS(Registro!$N:$N,Registro!$A:$A,V$3,Registro!$F:$F,$A11)=0,"",SUMIFS(Registro!$N:$N,Registro!$A:$A,V$3,Registro!$F:$F,$A11))</f>
        <v/>
      </c>
      <c r="W11" s="17" t="str">
        <f aca="false">IF(SUMIFS(Registro!$N:$N,Registro!$A:$A,W$3,Registro!$F:$F,$A11)=0,"",SUMIFS(Registro!$N:$N,Registro!$A:$A,W$3,Registro!$F:$F,$A11))</f>
        <v/>
      </c>
      <c r="X11" s="17" t="str">
        <f aca="false">IF(SUMIFS(Registro!$N:$N,Registro!$A:$A,X$3,Registro!$F:$F,$A11)=0,"",SUMIFS(Registro!$N:$N,Registro!$A:$A,X$3,Registro!$F:$F,$A11))</f>
        <v/>
      </c>
      <c r="Y11" s="17" t="str">
        <f aca="false">IF(SUMIFS(Registro!$N:$N,Registro!$A:$A,Y$3,Registro!$F:$F,$A11)=0,"",SUMIFS(Registro!$N:$N,Registro!$A:$A,Y$3,Registro!$F:$F,$A11))</f>
        <v/>
      </c>
      <c r="Z11" s="17" t="str">
        <f aca="false">IF(SUMIFS(Registro!$N:$N,Registro!$A:$A,Z$3,Registro!$F:$F,$A11)=0,"",SUMIFS(Registro!$N:$N,Registro!$A:$A,Z$3,Registro!$F:$F,$A11))</f>
        <v/>
      </c>
      <c r="AA11" s="17" t="str">
        <f aca="false">IF(SUMIFS(Registro!$N:$N,Registro!$A:$A,AA$3,Registro!$F:$F,$A11)=0,"",SUMIFS(Registro!$N:$N,Registro!$A:$A,AA$3,Registro!$F:$F,$A11))</f>
        <v/>
      </c>
      <c r="AB11" s="17" t="str">
        <f aca="false">IF(SUMIFS(Registro!$N:$N,Registro!$A:$A,AB$3,Registro!$F:$F,$A11)=0,"",SUMIFS(Registro!$N:$N,Registro!$A:$A,AB$3,Registro!$F:$F,$A11))</f>
        <v/>
      </c>
      <c r="AC11" s="17" t="str">
        <f aca="false">IF(SUMIFS(Registro!$N:$N,Registro!$A:$A,AC$3,Registro!$F:$F,$A11)=0,"",SUMIFS(Registro!$N:$N,Registro!$A:$A,AC$3,Registro!$F:$F,$A11))</f>
        <v/>
      </c>
      <c r="AD11" s="17" t="str">
        <f aca="false">IF(SUMIFS(Registro!$N:$N,Registro!$A:$A,AD$3,Registro!$F:$F,$A11)=0,"",SUMIFS(Registro!$N:$N,Registro!$A:$A,AD$3,Registro!$F:$F,$A11))</f>
        <v/>
      </c>
      <c r="AE11" s="17" t="str">
        <f aca="false">IF(SUMIFS(Registro!$N:$N,Registro!$A:$A,AE$3,Registro!$F:$F,$A11)=0,"",SUMIFS(Registro!$N:$N,Registro!$A:$A,AE$3,Registro!$F:$F,$A11))</f>
        <v/>
      </c>
      <c r="AF11" s="17" t="str">
        <f aca="false">IF(SUMIFS(Registro!$N:$N,Registro!$A:$A,AF$3,Registro!$F:$F,$A11)=0,"",SUMIFS(Registro!$N:$N,Registro!$A:$A,AF$3,Registro!$F:$F,$A11))</f>
        <v/>
      </c>
      <c r="AG11" s="17" t="str">
        <f aca="false">IF(SUMIFS(Registro!$N:$N,Registro!$A:$A,AG$3,Registro!$F:$F,$A11)=0,"",SUMIFS(Registro!$N:$N,Registro!$A:$A,AG$3,Registro!$F:$F,$A11))</f>
        <v/>
      </c>
      <c r="AH11" s="17" t="str">
        <f aca="false">IF(SUMIFS(Registro!$N:$N,Registro!$A:$A,AH$3,Registro!$F:$F,$A11)=0,"",SUMIFS(Registro!$N:$N,Registro!$A:$A,AH$3,Registro!$F:$F,$A11))</f>
        <v/>
      </c>
      <c r="AI11" s="17" t="str">
        <f aca="false">IF(SUMIFS(Registro!$N:$N,Registro!$A:$A,AI$3,Registro!$F:$F,$A11)=0,"",SUMIFS(Registro!$N:$N,Registro!$A:$A,AI$3,Registro!$F:$F,$A11))</f>
        <v/>
      </c>
      <c r="AJ11" s="17" t="str">
        <f aca="false">IF(SUMIFS(Registro!$N:$N,Registro!$A:$A,AJ$3,Registro!$F:$F,$A11)=0,"",SUMIFS(Registro!$N:$N,Registro!$A:$A,AJ$3,Registro!$F:$F,$A11))</f>
        <v/>
      </c>
      <c r="AK11" s="17" t="str">
        <f aca="false">IF(SUMIFS(Registro!$N:$N,Registro!$A:$A,AK$3,Registro!$F:$F,$A11)=0,"",SUMIFS(Registro!$N:$N,Registro!$A:$A,AK$3,Registro!$F:$F,$A11))</f>
        <v/>
      </c>
      <c r="AL11" s="17" t="str">
        <f aca="false">IF(SUMIFS(Registro!$N:$N,Registro!$A:$A,AL$3,Registro!$F:$F,$A11)=0,"",SUMIFS(Registro!$N:$N,Registro!$A:$A,AL$3,Registro!$F:$F,$A11))</f>
        <v/>
      </c>
      <c r="AM11" s="17" t="str">
        <f aca="false">IF(SUMIFS(Registro!$N:$N,Registro!$A:$A,AM$3,Registro!$F:$F,$A11)=0,"",SUMIFS(Registro!$N:$N,Registro!$A:$A,AM$3,Registro!$F:$F,$A11))</f>
        <v/>
      </c>
      <c r="AN11" s="17" t="str">
        <f aca="false">IF(SUMIFS(Registro!$N:$N,Registro!$A:$A,AN$3,Registro!$F:$F,$A11)=0,"",SUMIFS(Registro!$N:$N,Registro!$A:$A,AN$3,Registro!$F:$F,$A11))</f>
        <v/>
      </c>
    </row>
    <row r="12" customFormat="false" ht="15" hidden="false" customHeight="false" outlineLevel="0" collapsed="false">
      <c r="A12" s="22" t="str">
        <f aca="false">Jugadores!$B$12</f>
        <v>Jugador 8</v>
      </c>
      <c r="B12" s="17" t="str">
        <f aca="false">IF(SUMIFS(Registro!$N:$N,Registro!$A:$A,B$3,Registro!$F:$F,$A12)=0,"",SUMIFS(Registro!$N:$N,Registro!$A:$A,B$3,Registro!$F:$F,$A12))</f>
        <v/>
      </c>
      <c r="C12" s="17" t="str">
        <f aca="false">IF(SUMIFS(Registro!$N:$N,Registro!$A:$A,C$3,Registro!$F:$F,$A12)=0,"",SUMIFS(Registro!$N:$N,Registro!$A:$A,C$3,Registro!$F:$F,$A12))</f>
        <v/>
      </c>
      <c r="D12" s="17" t="str">
        <f aca="false">IF(SUMIFS(Registro!$N:$N,Registro!$A:$A,D$3,Registro!$F:$F,$A12)=0,"",SUMIFS(Registro!$N:$N,Registro!$A:$A,D$3,Registro!$F:$F,$A12))</f>
        <v/>
      </c>
      <c r="E12" s="17" t="str">
        <f aca="false">IF(SUMIFS(Registro!$N:$N,Registro!$A:$A,E$3,Registro!$F:$F,$A12)=0,"",SUMIFS(Registro!$N:$N,Registro!$A:$A,E$3,Registro!$F:$F,$A12))</f>
        <v/>
      </c>
      <c r="F12" s="17" t="str">
        <f aca="false">IF(SUMIFS(Registro!$N:$N,Registro!$A:$A,F$3,Registro!$F:$F,$A12)=0,"",SUMIFS(Registro!$N:$N,Registro!$A:$A,F$3,Registro!$F:$F,$A12))</f>
        <v/>
      </c>
      <c r="G12" s="17" t="str">
        <f aca="false">IF(SUMIFS(Registro!$N:$N,Registro!$A:$A,G$3,Registro!$F:$F,$A12)=0,"",SUMIFS(Registro!$N:$N,Registro!$A:$A,G$3,Registro!$F:$F,$A12))</f>
        <v/>
      </c>
      <c r="H12" s="17" t="str">
        <f aca="false">IF(SUMIFS(Registro!$N:$N,Registro!$A:$A,H$3,Registro!$F:$F,$A12)=0,"",SUMIFS(Registro!$N:$N,Registro!$A:$A,H$3,Registro!$F:$F,$A12))</f>
        <v/>
      </c>
      <c r="I12" s="17" t="str">
        <f aca="false">IF(SUMIFS(Registro!$N:$N,Registro!$A:$A,I$3,Registro!$F:$F,$A12)=0,"",SUMIFS(Registro!$N:$N,Registro!$A:$A,I$3,Registro!$F:$F,$A12))</f>
        <v/>
      </c>
      <c r="J12" s="17" t="str">
        <f aca="false">IF(SUMIFS(Registro!$N:$N,Registro!$A:$A,J$3,Registro!$F:$F,$A12)=0,"",SUMIFS(Registro!$N:$N,Registro!$A:$A,J$3,Registro!$F:$F,$A12))</f>
        <v/>
      </c>
      <c r="K12" s="17" t="str">
        <f aca="false">IF(SUMIFS(Registro!$N:$N,Registro!$A:$A,K$3,Registro!$F:$F,$A12)=0,"",SUMIFS(Registro!$N:$N,Registro!$A:$A,K$3,Registro!$F:$F,$A12))</f>
        <v/>
      </c>
      <c r="L12" s="17" t="str">
        <f aca="false">IF(SUMIFS(Registro!$N:$N,Registro!$A:$A,L$3,Registro!$F:$F,$A12)=0,"",SUMIFS(Registro!$N:$N,Registro!$A:$A,L$3,Registro!$F:$F,$A12))</f>
        <v/>
      </c>
      <c r="M12" s="17" t="str">
        <f aca="false">IF(SUMIFS(Registro!$N:$N,Registro!$A:$A,M$3,Registro!$F:$F,$A12)=0,"",SUMIFS(Registro!$N:$N,Registro!$A:$A,M$3,Registro!$F:$F,$A12))</f>
        <v/>
      </c>
      <c r="N12" s="17" t="str">
        <f aca="false">IF(SUMIFS(Registro!$N:$N,Registro!$A:$A,N$3,Registro!$F:$F,$A12)=0,"",SUMIFS(Registro!$N:$N,Registro!$A:$A,N$3,Registro!$F:$F,$A12))</f>
        <v/>
      </c>
      <c r="O12" s="17" t="str">
        <f aca="false">IF(SUMIFS(Registro!$N:$N,Registro!$A:$A,O$3,Registro!$F:$F,$A12)=0,"",SUMIFS(Registro!$N:$N,Registro!$A:$A,O$3,Registro!$F:$F,$A12))</f>
        <v/>
      </c>
      <c r="P12" s="17" t="str">
        <f aca="false">IF(SUMIFS(Registro!$N:$N,Registro!$A:$A,P$3,Registro!$F:$F,$A12)=0,"",SUMIFS(Registro!$N:$N,Registro!$A:$A,P$3,Registro!$F:$F,$A12))</f>
        <v/>
      </c>
      <c r="Q12" s="17" t="str">
        <f aca="false">IF(SUMIFS(Registro!$N:$N,Registro!$A:$A,Q$3,Registro!$F:$F,$A12)=0,"",SUMIFS(Registro!$N:$N,Registro!$A:$A,Q$3,Registro!$F:$F,$A12))</f>
        <v/>
      </c>
      <c r="R12" s="17" t="str">
        <f aca="false">IF(SUMIFS(Registro!$N:$N,Registro!$A:$A,R$3,Registro!$F:$F,$A12)=0,"",SUMIFS(Registro!$N:$N,Registro!$A:$A,R$3,Registro!$F:$F,$A12))</f>
        <v/>
      </c>
      <c r="S12" s="17" t="str">
        <f aca="false">IF(SUMIFS(Registro!$N:$N,Registro!$A:$A,S$3,Registro!$F:$F,$A12)=0,"",SUMIFS(Registro!$N:$N,Registro!$A:$A,S$3,Registro!$F:$F,$A12))</f>
        <v/>
      </c>
      <c r="T12" s="17" t="str">
        <f aca="false">IF(SUMIFS(Registro!$N:$N,Registro!$A:$A,T$3,Registro!$F:$F,$A12)=0,"",SUMIFS(Registro!$N:$N,Registro!$A:$A,T$3,Registro!$F:$F,$A12))</f>
        <v/>
      </c>
      <c r="U12" s="17" t="str">
        <f aca="false">IF(SUMIFS(Registro!$N:$N,Registro!$A:$A,U$3,Registro!$F:$F,$A12)=0,"",SUMIFS(Registro!$N:$N,Registro!$A:$A,U$3,Registro!$F:$F,$A12))</f>
        <v/>
      </c>
      <c r="V12" s="17" t="str">
        <f aca="false">IF(SUMIFS(Registro!$N:$N,Registro!$A:$A,V$3,Registro!$F:$F,$A12)=0,"",SUMIFS(Registro!$N:$N,Registro!$A:$A,V$3,Registro!$F:$F,$A12))</f>
        <v/>
      </c>
      <c r="W12" s="17" t="str">
        <f aca="false">IF(SUMIFS(Registro!$N:$N,Registro!$A:$A,W$3,Registro!$F:$F,$A12)=0,"",SUMIFS(Registro!$N:$N,Registro!$A:$A,W$3,Registro!$F:$F,$A12))</f>
        <v/>
      </c>
      <c r="X12" s="17" t="str">
        <f aca="false">IF(SUMIFS(Registro!$N:$N,Registro!$A:$A,X$3,Registro!$F:$F,$A12)=0,"",SUMIFS(Registro!$N:$N,Registro!$A:$A,X$3,Registro!$F:$F,$A12))</f>
        <v/>
      </c>
      <c r="Y12" s="17" t="str">
        <f aca="false">IF(SUMIFS(Registro!$N:$N,Registro!$A:$A,Y$3,Registro!$F:$F,$A12)=0,"",SUMIFS(Registro!$N:$N,Registro!$A:$A,Y$3,Registro!$F:$F,$A12))</f>
        <v/>
      </c>
      <c r="Z12" s="17" t="str">
        <f aca="false">IF(SUMIFS(Registro!$N:$N,Registro!$A:$A,Z$3,Registro!$F:$F,$A12)=0,"",SUMIFS(Registro!$N:$N,Registro!$A:$A,Z$3,Registro!$F:$F,$A12))</f>
        <v/>
      </c>
      <c r="AA12" s="17" t="str">
        <f aca="false">IF(SUMIFS(Registro!$N:$N,Registro!$A:$A,AA$3,Registro!$F:$F,$A12)=0,"",SUMIFS(Registro!$N:$N,Registro!$A:$A,AA$3,Registro!$F:$F,$A12))</f>
        <v/>
      </c>
      <c r="AB12" s="17" t="str">
        <f aca="false">IF(SUMIFS(Registro!$N:$N,Registro!$A:$A,AB$3,Registro!$F:$F,$A12)=0,"",SUMIFS(Registro!$N:$N,Registro!$A:$A,AB$3,Registro!$F:$F,$A12))</f>
        <v/>
      </c>
      <c r="AC12" s="17" t="str">
        <f aca="false">IF(SUMIFS(Registro!$N:$N,Registro!$A:$A,AC$3,Registro!$F:$F,$A12)=0,"",SUMIFS(Registro!$N:$N,Registro!$A:$A,AC$3,Registro!$F:$F,$A12))</f>
        <v/>
      </c>
      <c r="AD12" s="17" t="str">
        <f aca="false">IF(SUMIFS(Registro!$N:$N,Registro!$A:$A,AD$3,Registro!$F:$F,$A12)=0,"",SUMIFS(Registro!$N:$N,Registro!$A:$A,AD$3,Registro!$F:$F,$A12))</f>
        <v/>
      </c>
      <c r="AE12" s="17" t="str">
        <f aca="false">IF(SUMIFS(Registro!$N:$N,Registro!$A:$A,AE$3,Registro!$F:$F,$A12)=0,"",SUMIFS(Registro!$N:$N,Registro!$A:$A,AE$3,Registro!$F:$F,$A12))</f>
        <v/>
      </c>
      <c r="AF12" s="17" t="str">
        <f aca="false">IF(SUMIFS(Registro!$N:$N,Registro!$A:$A,AF$3,Registro!$F:$F,$A12)=0,"",SUMIFS(Registro!$N:$N,Registro!$A:$A,AF$3,Registro!$F:$F,$A12))</f>
        <v/>
      </c>
      <c r="AG12" s="17" t="str">
        <f aca="false">IF(SUMIFS(Registro!$N:$N,Registro!$A:$A,AG$3,Registro!$F:$F,$A12)=0,"",SUMIFS(Registro!$N:$N,Registro!$A:$A,AG$3,Registro!$F:$F,$A12))</f>
        <v/>
      </c>
      <c r="AH12" s="17" t="str">
        <f aca="false">IF(SUMIFS(Registro!$N:$N,Registro!$A:$A,AH$3,Registro!$F:$F,$A12)=0,"",SUMIFS(Registro!$N:$N,Registro!$A:$A,AH$3,Registro!$F:$F,$A12))</f>
        <v/>
      </c>
      <c r="AI12" s="17" t="str">
        <f aca="false">IF(SUMIFS(Registro!$N:$N,Registro!$A:$A,AI$3,Registro!$F:$F,$A12)=0,"",SUMIFS(Registro!$N:$N,Registro!$A:$A,AI$3,Registro!$F:$F,$A12))</f>
        <v/>
      </c>
      <c r="AJ12" s="17" t="str">
        <f aca="false">IF(SUMIFS(Registro!$N:$N,Registro!$A:$A,AJ$3,Registro!$F:$F,$A12)=0,"",SUMIFS(Registro!$N:$N,Registro!$A:$A,AJ$3,Registro!$F:$F,$A12))</f>
        <v/>
      </c>
      <c r="AK12" s="17" t="str">
        <f aca="false">IF(SUMIFS(Registro!$N:$N,Registro!$A:$A,AK$3,Registro!$F:$F,$A12)=0,"",SUMIFS(Registro!$N:$N,Registro!$A:$A,AK$3,Registro!$F:$F,$A12))</f>
        <v/>
      </c>
      <c r="AL12" s="17" t="str">
        <f aca="false">IF(SUMIFS(Registro!$N:$N,Registro!$A:$A,AL$3,Registro!$F:$F,$A12)=0,"",SUMIFS(Registro!$N:$N,Registro!$A:$A,AL$3,Registro!$F:$F,$A12))</f>
        <v/>
      </c>
      <c r="AM12" s="17" t="str">
        <f aca="false">IF(SUMIFS(Registro!$N:$N,Registro!$A:$A,AM$3,Registro!$F:$F,$A12)=0,"",SUMIFS(Registro!$N:$N,Registro!$A:$A,AM$3,Registro!$F:$F,$A12))</f>
        <v/>
      </c>
      <c r="AN12" s="17" t="str">
        <f aca="false">IF(SUMIFS(Registro!$N:$N,Registro!$A:$A,AN$3,Registro!$F:$F,$A12)=0,"",SUMIFS(Registro!$N:$N,Registro!$A:$A,AN$3,Registro!$F:$F,$A12))</f>
        <v/>
      </c>
    </row>
    <row r="13" customFormat="false" ht="15" hidden="false" customHeight="false" outlineLevel="0" collapsed="false">
      <c r="A13" s="22" t="str">
        <f aca="false">Jugadores!$B$13</f>
        <v>Jugador 9</v>
      </c>
      <c r="B13" s="17" t="str">
        <f aca="false">IF(SUMIFS(Registro!$N:$N,Registro!$A:$A,B$3,Registro!$F:$F,$A13)=0,"",SUMIFS(Registro!$N:$N,Registro!$A:$A,B$3,Registro!$F:$F,$A13))</f>
        <v/>
      </c>
      <c r="C13" s="17" t="str">
        <f aca="false">IF(SUMIFS(Registro!$N:$N,Registro!$A:$A,C$3,Registro!$F:$F,$A13)=0,"",SUMIFS(Registro!$N:$N,Registro!$A:$A,C$3,Registro!$F:$F,$A13))</f>
        <v/>
      </c>
      <c r="D13" s="17" t="str">
        <f aca="false">IF(SUMIFS(Registro!$N:$N,Registro!$A:$A,D$3,Registro!$F:$F,$A13)=0,"",SUMIFS(Registro!$N:$N,Registro!$A:$A,D$3,Registro!$F:$F,$A13))</f>
        <v/>
      </c>
      <c r="E13" s="17" t="str">
        <f aca="false">IF(SUMIFS(Registro!$N:$N,Registro!$A:$A,E$3,Registro!$F:$F,$A13)=0,"",SUMIFS(Registro!$N:$N,Registro!$A:$A,E$3,Registro!$F:$F,$A13))</f>
        <v/>
      </c>
      <c r="F13" s="17" t="str">
        <f aca="false">IF(SUMIFS(Registro!$N:$N,Registro!$A:$A,F$3,Registro!$F:$F,$A13)=0,"",SUMIFS(Registro!$N:$N,Registro!$A:$A,F$3,Registro!$F:$F,$A13))</f>
        <v/>
      </c>
      <c r="G13" s="17" t="str">
        <f aca="false">IF(SUMIFS(Registro!$N:$N,Registro!$A:$A,G$3,Registro!$F:$F,$A13)=0,"",SUMIFS(Registro!$N:$N,Registro!$A:$A,G$3,Registro!$F:$F,$A13))</f>
        <v/>
      </c>
      <c r="H13" s="17" t="str">
        <f aca="false">IF(SUMIFS(Registro!$N:$N,Registro!$A:$A,H$3,Registro!$F:$F,$A13)=0,"",SUMIFS(Registro!$N:$N,Registro!$A:$A,H$3,Registro!$F:$F,$A13))</f>
        <v/>
      </c>
      <c r="I13" s="17" t="str">
        <f aca="false">IF(SUMIFS(Registro!$N:$N,Registro!$A:$A,I$3,Registro!$F:$F,$A13)=0,"",SUMIFS(Registro!$N:$N,Registro!$A:$A,I$3,Registro!$F:$F,$A13))</f>
        <v/>
      </c>
      <c r="J13" s="17" t="str">
        <f aca="false">IF(SUMIFS(Registro!$N:$N,Registro!$A:$A,J$3,Registro!$F:$F,$A13)=0,"",SUMIFS(Registro!$N:$N,Registro!$A:$A,J$3,Registro!$F:$F,$A13))</f>
        <v/>
      </c>
      <c r="K13" s="17" t="str">
        <f aca="false">IF(SUMIFS(Registro!$N:$N,Registro!$A:$A,K$3,Registro!$F:$F,$A13)=0,"",SUMIFS(Registro!$N:$N,Registro!$A:$A,K$3,Registro!$F:$F,$A13))</f>
        <v/>
      </c>
      <c r="L13" s="17" t="str">
        <f aca="false">IF(SUMIFS(Registro!$N:$N,Registro!$A:$A,L$3,Registro!$F:$F,$A13)=0,"",SUMIFS(Registro!$N:$N,Registro!$A:$A,L$3,Registro!$F:$F,$A13))</f>
        <v/>
      </c>
      <c r="M13" s="17" t="str">
        <f aca="false">IF(SUMIFS(Registro!$N:$N,Registro!$A:$A,M$3,Registro!$F:$F,$A13)=0,"",SUMIFS(Registro!$N:$N,Registro!$A:$A,M$3,Registro!$F:$F,$A13))</f>
        <v/>
      </c>
      <c r="N13" s="17" t="str">
        <f aca="false">IF(SUMIFS(Registro!$N:$N,Registro!$A:$A,N$3,Registro!$F:$F,$A13)=0,"",SUMIFS(Registro!$N:$N,Registro!$A:$A,N$3,Registro!$F:$F,$A13))</f>
        <v/>
      </c>
      <c r="O13" s="17" t="str">
        <f aca="false">IF(SUMIFS(Registro!$N:$N,Registro!$A:$A,O$3,Registro!$F:$F,$A13)=0,"",SUMIFS(Registro!$N:$N,Registro!$A:$A,O$3,Registro!$F:$F,$A13))</f>
        <v/>
      </c>
      <c r="P13" s="17" t="str">
        <f aca="false">IF(SUMIFS(Registro!$N:$N,Registro!$A:$A,P$3,Registro!$F:$F,$A13)=0,"",SUMIFS(Registro!$N:$N,Registro!$A:$A,P$3,Registro!$F:$F,$A13))</f>
        <v/>
      </c>
      <c r="Q13" s="17" t="str">
        <f aca="false">IF(SUMIFS(Registro!$N:$N,Registro!$A:$A,Q$3,Registro!$F:$F,$A13)=0,"",SUMIFS(Registro!$N:$N,Registro!$A:$A,Q$3,Registro!$F:$F,$A13))</f>
        <v/>
      </c>
      <c r="R13" s="17" t="str">
        <f aca="false">IF(SUMIFS(Registro!$N:$N,Registro!$A:$A,R$3,Registro!$F:$F,$A13)=0,"",SUMIFS(Registro!$N:$N,Registro!$A:$A,R$3,Registro!$F:$F,$A13))</f>
        <v/>
      </c>
      <c r="S13" s="17" t="str">
        <f aca="false">IF(SUMIFS(Registro!$N:$N,Registro!$A:$A,S$3,Registro!$F:$F,$A13)=0,"",SUMIFS(Registro!$N:$N,Registro!$A:$A,S$3,Registro!$F:$F,$A13))</f>
        <v/>
      </c>
      <c r="T13" s="17" t="str">
        <f aca="false">IF(SUMIFS(Registro!$N:$N,Registro!$A:$A,T$3,Registro!$F:$F,$A13)=0,"",SUMIFS(Registro!$N:$N,Registro!$A:$A,T$3,Registro!$F:$F,$A13))</f>
        <v/>
      </c>
      <c r="U13" s="17" t="str">
        <f aca="false">IF(SUMIFS(Registro!$N:$N,Registro!$A:$A,U$3,Registro!$F:$F,$A13)=0,"",SUMIFS(Registro!$N:$N,Registro!$A:$A,U$3,Registro!$F:$F,$A13))</f>
        <v/>
      </c>
      <c r="V13" s="17" t="str">
        <f aca="false">IF(SUMIFS(Registro!$N:$N,Registro!$A:$A,V$3,Registro!$F:$F,$A13)=0,"",SUMIFS(Registro!$N:$N,Registro!$A:$A,V$3,Registro!$F:$F,$A13))</f>
        <v/>
      </c>
      <c r="W13" s="17" t="str">
        <f aca="false">IF(SUMIFS(Registro!$N:$N,Registro!$A:$A,W$3,Registro!$F:$F,$A13)=0,"",SUMIFS(Registro!$N:$N,Registro!$A:$A,W$3,Registro!$F:$F,$A13))</f>
        <v/>
      </c>
      <c r="X13" s="17" t="str">
        <f aca="false">IF(SUMIFS(Registro!$N:$N,Registro!$A:$A,X$3,Registro!$F:$F,$A13)=0,"",SUMIFS(Registro!$N:$N,Registro!$A:$A,X$3,Registro!$F:$F,$A13))</f>
        <v/>
      </c>
      <c r="Y13" s="17" t="str">
        <f aca="false">IF(SUMIFS(Registro!$N:$N,Registro!$A:$A,Y$3,Registro!$F:$F,$A13)=0,"",SUMIFS(Registro!$N:$N,Registro!$A:$A,Y$3,Registro!$F:$F,$A13))</f>
        <v/>
      </c>
      <c r="Z13" s="17" t="str">
        <f aca="false">IF(SUMIFS(Registro!$N:$N,Registro!$A:$A,Z$3,Registro!$F:$F,$A13)=0,"",SUMIFS(Registro!$N:$N,Registro!$A:$A,Z$3,Registro!$F:$F,$A13))</f>
        <v/>
      </c>
      <c r="AA13" s="17" t="str">
        <f aca="false">IF(SUMIFS(Registro!$N:$N,Registro!$A:$A,AA$3,Registro!$F:$F,$A13)=0,"",SUMIFS(Registro!$N:$N,Registro!$A:$A,AA$3,Registro!$F:$F,$A13))</f>
        <v/>
      </c>
      <c r="AB13" s="17" t="str">
        <f aca="false">IF(SUMIFS(Registro!$N:$N,Registro!$A:$A,AB$3,Registro!$F:$F,$A13)=0,"",SUMIFS(Registro!$N:$N,Registro!$A:$A,AB$3,Registro!$F:$F,$A13))</f>
        <v/>
      </c>
      <c r="AC13" s="17" t="str">
        <f aca="false">IF(SUMIFS(Registro!$N:$N,Registro!$A:$A,AC$3,Registro!$F:$F,$A13)=0,"",SUMIFS(Registro!$N:$N,Registro!$A:$A,AC$3,Registro!$F:$F,$A13))</f>
        <v/>
      </c>
      <c r="AD13" s="17" t="str">
        <f aca="false">IF(SUMIFS(Registro!$N:$N,Registro!$A:$A,AD$3,Registro!$F:$F,$A13)=0,"",SUMIFS(Registro!$N:$N,Registro!$A:$A,AD$3,Registro!$F:$F,$A13))</f>
        <v/>
      </c>
      <c r="AE13" s="17" t="str">
        <f aca="false">IF(SUMIFS(Registro!$N:$N,Registro!$A:$A,AE$3,Registro!$F:$F,$A13)=0,"",SUMIFS(Registro!$N:$N,Registro!$A:$A,AE$3,Registro!$F:$F,$A13))</f>
        <v/>
      </c>
      <c r="AF13" s="17" t="str">
        <f aca="false">IF(SUMIFS(Registro!$N:$N,Registro!$A:$A,AF$3,Registro!$F:$F,$A13)=0,"",SUMIFS(Registro!$N:$N,Registro!$A:$A,AF$3,Registro!$F:$F,$A13))</f>
        <v/>
      </c>
      <c r="AG13" s="17" t="str">
        <f aca="false">IF(SUMIFS(Registro!$N:$N,Registro!$A:$A,AG$3,Registro!$F:$F,$A13)=0,"",SUMIFS(Registro!$N:$N,Registro!$A:$A,AG$3,Registro!$F:$F,$A13))</f>
        <v/>
      </c>
      <c r="AH13" s="17" t="str">
        <f aca="false">IF(SUMIFS(Registro!$N:$N,Registro!$A:$A,AH$3,Registro!$F:$F,$A13)=0,"",SUMIFS(Registro!$N:$N,Registro!$A:$A,AH$3,Registro!$F:$F,$A13))</f>
        <v/>
      </c>
      <c r="AI13" s="17" t="str">
        <f aca="false">IF(SUMIFS(Registro!$N:$N,Registro!$A:$A,AI$3,Registro!$F:$F,$A13)=0,"",SUMIFS(Registro!$N:$N,Registro!$A:$A,AI$3,Registro!$F:$F,$A13))</f>
        <v/>
      </c>
      <c r="AJ13" s="17" t="str">
        <f aca="false">IF(SUMIFS(Registro!$N:$N,Registro!$A:$A,AJ$3,Registro!$F:$F,$A13)=0,"",SUMIFS(Registro!$N:$N,Registro!$A:$A,AJ$3,Registro!$F:$F,$A13))</f>
        <v/>
      </c>
      <c r="AK13" s="17" t="str">
        <f aca="false">IF(SUMIFS(Registro!$N:$N,Registro!$A:$A,AK$3,Registro!$F:$F,$A13)=0,"",SUMIFS(Registro!$N:$N,Registro!$A:$A,AK$3,Registro!$F:$F,$A13))</f>
        <v/>
      </c>
      <c r="AL13" s="17" t="str">
        <f aca="false">IF(SUMIFS(Registro!$N:$N,Registro!$A:$A,AL$3,Registro!$F:$F,$A13)=0,"",SUMIFS(Registro!$N:$N,Registro!$A:$A,AL$3,Registro!$F:$F,$A13))</f>
        <v/>
      </c>
      <c r="AM13" s="17" t="str">
        <f aca="false">IF(SUMIFS(Registro!$N:$N,Registro!$A:$A,AM$3,Registro!$F:$F,$A13)=0,"",SUMIFS(Registro!$N:$N,Registro!$A:$A,AM$3,Registro!$F:$F,$A13))</f>
        <v/>
      </c>
      <c r="AN13" s="17" t="str">
        <f aca="false">IF(SUMIFS(Registro!$N:$N,Registro!$A:$A,AN$3,Registro!$F:$F,$A13)=0,"",SUMIFS(Registro!$N:$N,Registro!$A:$A,AN$3,Registro!$F:$F,$A13))</f>
        <v/>
      </c>
    </row>
    <row r="14" customFormat="false" ht="15" hidden="false" customHeight="false" outlineLevel="0" collapsed="false">
      <c r="A14" s="22" t="str">
        <f aca="false">Jugadores!$B$14</f>
        <v>Jugador 10</v>
      </c>
      <c r="B14" s="17" t="str">
        <f aca="false">IF(SUMIFS(Registro!$N:$N,Registro!$A:$A,B$3,Registro!$F:$F,$A14)=0,"",SUMIFS(Registro!$N:$N,Registro!$A:$A,B$3,Registro!$F:$F,$A14))</f>
        <v/>
      </c>
      <c r="C14" s="17" t="str">
        <f aca="false">IF(SUMIFS(Registro!$N:$N,Registro!$A:$A,C$3,Registro!$F:$F,$A14)=0,"",SUMIFS(Registro!$N:$N,Registro!$A:$A,C$3,Registro!$F:$F,$A14))</f>
        <v/>
      </c>
      <c r="D14" s="17" t="str">
        <f aca="false">IF(SUMIFS(Registro!$N:$N,Registro!$A:$A,D$3,Registro!$F:$F,$A14)=0,"",SUMIFS(Registro!$N:$N,Registro!$A:$A,D$3,Registro!$F:$F,$A14))</f>
        <v/>
      </c>
      <c r="E14" s="17" t="str">
        <f aca="false">IF(SUMIFS(Registro!$N:$N,Registro!$A:$A,E$3,Registro!$F:$F,$A14)=0,"",SUMIFS(Registro!$N:$N,Registro!$A:$A,E$3,Registro!$F:$F,$A14))</f>
        <v/>
      </c>
      <c r="F14" s="17" t="str">
        <f aca="false">IF(SUMIFS(Registro!$N:$N,Registro!$A:$A,F$3,Registro!$F:$F,$A14)=0,"",SUMIFS(Registro!$N:$N,Registro!$A:$A,F$3,Registro!$F:$F,$A14))</f>
        <v/>
      </c>
      <c r="G14" s="17" t="str">
        <f aca="false">IF(SUMIFS(Registro!$N:$N,Registro!$A:$A,G$3,Registro!$F:$F,$A14)=0,"",SUMIFS(Registro!$N:$N,Registro!$A:$A,G$3,Registro!$F:$F,$A14))</f>
        <v/>
      </c>
      <c r="H14" s="17" t="str">
        <f aca="false">IF(SUMIFS(Registro!$N:$N,Registro!$A:$A,H$3,Registro!$F:$F,$A14)=0,"",SUMIFS(Registro!$N:$N,Registro!$A:$A,H$3,Registro!$F:$F,$A14))</f>
        <v/>
      </c>
      <c r="I14" s="17" t="str">
        <f aca="false">IF(SUMIFS(Registro!$N:$N,Registro!$A:$A,I$3,Registro!$F:$F,$A14)=0,"",SUMIFS(Registro!$N:$N,Registro!$A:$A,I$3,Registro!$F:$F,$A14))</f>
        <v/>
      </c>
      <c r="J14" s="17" t="str">
        <f aca="false">IF(SUMIFS(Registro!$N:$N,Registro!$A:$A,J$3,Registro!$F:$F,$A14)=0,"",SUMIFS(Registro!$N:$N,Registro!$A:$A,J$3,Registro!$F:$F,$A14))</f>
        <v/>
      </c>
      <c r="K14" s="17" t="str">
        <f aca="false">IF(SUMIFS(Registro!$N:$N,Registro!$A:$A,K$3,Registro!$F:$F,$A14)=0,"",SUMIFS(Registro!$N:$N,Registro!$A:$A,K$3,Registro!$F:$F,$A14))</f>
        <v/>
      </c>
      <c r="L14" s="17" t="str">
        <f aca="false">IF(SUMIFS(Registro!$N:$N,Registro!$A:$A,L$3,Registro!$F:$F,$A14)=0,"",SUMIFS(Registro!$N:$N,Registro!$A:$A,L$3,Registro!$F:$F,$A14))</f>
        <v/>
      </c>
      <c r="M14" s="17" t="str">
        <f aca="false">IF(SUMIFS(Registro!$N:$N,Registro!$A:$A,M$3,Registro!$F:$F,$A14)=0,"",SUMIFS(Registro!$N:$N,Registro!$A:$A,M$3,Registro!$F:$F,$A14))</f>
        <v/>
      </c>
      <c r="N14" s="17" t="str">
        <f aca="false">IF(SUMIFS(Registro!$N:$N,Registro!$A:$A,N$3,Registro!$F:$F,$A14)=0,"",SUMIFS(Registro!$N:$N,Registro!$A:$A,N$3,Registro!$F:$F,$A14))</f>
        <v/>
      </c>
      <c r="O14" s="17" t="str">
        <f aca="false">IF(SUMIFS(Registro!$N:$N,Registro!$A:$A,O$3,Registro!$F:$F,$A14)=0,"",SUMIFS(Registro!$N:$N,Registro!$A:$A,O$3,Registro!$F:$F,$A14))</f>
        <v/>
      </c>
      <c r="P14" s="17" t="str">
        <f aca="false">IF(SUMIFS(Registro!$N:$N,Registro!$A:$A,P$3,Registro!$F:$F,$A14)=0,"",SUMIFS(Registro!$N:$N,Registro!$A:$A,P$3,Registro!$F:$F,$A14))</f>
        <v/>
      </c>
      <c r="Q14" s="17" t="str">
        <f aca="false">IF(SUMIFS(Registro!$N:$N,Registro!$A:$A,Q$3,Registro!$F:$F,$A14)=0,"",SUMIFS(Registro!$N:$N,Registro!$A:$A,Q$3,Registro!$F:$F,$A14))</f>
        <v/>
      </c>
      <c r="R14" s="17" t="str">
        <f aca="false">IF(SUMIFS(Registro!$N:$N,Registro!$A:$A,R$3,Registro!$F:$F,$A14)=0,"",SUMIFS(Registro!$N:$N,Registro!$A:$A,R$3,Registro!$F:$F,$A14))</f>
        <v/>
      </c>
      <c r="S14" s="17" t="str">
        <f aca="false">IF(SUMIFS(Registro!$N:$N,Registro!$A:$A,S$3,Registro!$F:$F,$A14)=0,"",SUMIFS(Registro!$N:$N,Registro!$A:$A,S$3,Registro!$F:$F,$A14))</f>
        <v/>
      </c>
      <c r="T14" s="17" t="str">
        <f aca="false">IF(SUMIFS(Registro!$N:$N,Registro!$A:$A,T$3,Registro!$F:$F,$A14)=0,"",SUMIFS(Registro!$N:$N,Registro!$A:$A,T$3,Registro!$F:$F,$A14))</f>
        <v/>
      </c>
      <c r="U14" s="17" t="str">
        <f aca="false">IF(SUMIFS(Registro!$N:$N,Registro!$A:$A,U$3,Registro!$F:$F,$A14)=0,"",SUMIFS(Registro!$N:$N,Registro!$A:$A,U$3,Registro!$F:$F,$A14))</f>
        <v/>
      </c>
      <c r="V14" s="17" t="str">
        <f aca="false">IF(SUMIFS(Registro!$N:$N,Registro!$A:$A,V$3,Registro!$F:$F,$A14)=0,"",SUMIFS(Registro!$N:$N,Registro!$A:$A,V$3,Registro!$F:$F,$A14))</f>
        <v/>
      </c>
      <c r="W14" s="17" t="str">
        <f aca="false">IF(SUMIFS(Registro!$N:$N,Registro!$A:$A,W$3,Registro!$F:$F,$A14)=0,"",SUMIFS(Registro!$N:$N,Registro!$A:$A,W$3,Registro!$F:$F,$A14))</f>
        <v/>
      </c>
      <c r="X14" s="17" t="str">
        <f aca="false">IF(SUMIFS(Registro!$N:$N,Registro!$A:$A,X$3,Registro!$F:$F,$A14)=0,"",SUMIFS(Registro!$N:$N,Registro!$A:$A,X$3,Registro!$F:$F,$A14))</f>
        <v/>
      </c>
      <c r="Y14" s="17" t="str">
        <f aca="false">IF(SUMIFS(Registro!$N:$N,Registro!$A:$A,Y$3,Registro!$F:$F,$A14)=0,"",SUMIFS(Registro!$N:$N,Registro!$A:$A,Y$3,Registro!$F:$F,$A14))</f>
        <v/>
      </c>
      <c r="Z14" s="17" t="str">
        <f aca="false">IF(SUMIFS(Registro!$N:$N,Registro!$A:$A,Z$3,Registro!$F:$F,$A14)=0,"",SUMIFS(Registro!$N:$N,Registro!$A:$A,Z$3,Registro!$F:$F,$A14))</f>
        <v/>
      </c>
      <c r="AA14" s="17" t="str">
        <f aca="false">IF(SUMIFS(Registro!$N:$N,Registro!$A:$A,AA$3,Registro!$F:$F,$A14)=0,"",SUMIFS(Registro!$N:$N,Registro!$A:$A,AA$3,Registro!$F:$F,$A14))</f>
        <v/>
      </c>
      <c r="AB14" s="17" t="str">
        <f aca="false">IF(SUMIFS(Registro!$N:$N,Registro!$A:$A,AB$3,Registro!$F:$F,$A14)=0,"",SUMIFS(Registro!$N:$N,Registro!$A:$A,AB$3,Registro!$F:$F,$A14))</f>
        <v/>
      </c>
      <c r="AC14" s="17" t="str">
        <f aca="false">IF(SUMIFS(Registro!$N:$N,Registro!$A:$A,AC$3,Registro!$F:$F,$A14)=0,"",SUMIFS(Registro!$N:$N,Registro!$A:$A,AC$3,Registro!$F:$F,$A14))</f>
        <v/>
      </c>
      <c r="AD14" s="17" t="str">
        <f aca="false">IF(SUMIFS(Registro!$N:$N,Registro!$A:$A,AD$3,Registro!$F:$F,$A14)=0,"",SUMIFS(Registro!$N:$N,Registro!$A:$A,AD$3,Registro!$F:$F,$A14))</f>
        <v/>
      </c>
      <c r="AE14" s="17" t="str">
        <f aca="false">IF(SUMIFS(Registro!$N:$N,Registro!$A:$A,AE$3,Registro!$F:$F,$A14)=0,"",SUMIFS(Registro!$N:$N,Registro!$A:$A,AE$3,Registro!$F:$F,$A14))</f>
        <v/>
      </c>
      <c r="AF14" s="17" t="str">
        <f aca="false">IF(SUMIFS(Registro!$N:$N,Registro!$A:$A,AF$3,Registro!$F:$F,$A14)=0,"",SUMIFS(Registro!$N:$N,Registro!$A:$A,AF$3,Registro!$F:$F,$A14))</f>
        <v/>
      </c>
      <c r="AG14" s="17" t="str">
        <f aca="false">IF(SUMIFS(Registro!$N:$N,Registro!$A:$A,AG$3,Registro!$F:$F,$A14)=0,"",SUMIFS(Registro!$N:$N,Registro!$A:$A,AG$3,Registro!$F:$F,$A14))</f>
        <v/>
      </c>
      <c r="AH14" s="17" t="str">
        <f aca="false">IF(SUMIFS(Registro!$N:$N,Registro!$A:$A,AH$3,Registro!$F:$F,$A14)=0,"",SUMIFS(Registro!$N:$N,Registro!$A:$A,AH$3,Registro!$F:$F,$A14))</f>
        <v/>
      </c>
      <c r="AI14" s="17" t="str">
        <f aca="false">IF(SUMIFS(Registro!$N:$N,Registro!$A:$A,AI$3,Registro!$F:$F,$A14)=0,"",SUMIFS(Registro!$N:$N,Registro!$A:$A,AI$3,Registro!$F:$F,$A14))</f>
        <v/>
      </c>
      <c r="AJ14" s="17" t="str">
        <f aca="false">IF(SUMIFS(Registro!$N:$N,Registro!$A:$A,AJ$3,Registro!$F:$F,$A14)=0,"",SUMIFS(Registro!$N:$N,Registro!$A:$A,AJ$3,Registro!$F:$F,$A14))</f>
        <v/>
      </c>
      <c r="AK14" s="17" t="str">
        <f aca="false">IF(SUMIFS(Registro!$N:$N,Registro!$A:$A,AK$3,Registro!$F:$F,$A14)=0,"",SUMIFS(Registro!$N:$N,Registro!$A:$A,AK$3,Registro!$F:$F,$A14))</f>
        <v/>
      </c>
      <c r="AL14" s="17" t="str">
        <f aca="false">IF(SUMIFS(Registro!$N:$N,Registro!$A:$A,AL$3,Registro!$F:$F,$A14)=0,"",SUMIFS(Registro!$N:$N,Registro!$A:$A,AL$3,Registro!$F:$F,$A14))</f>
        <v/>
      </c>
      <c r="AM14" s="17" t="str">
        <f aca="false">IF(SUMIFS(Registro!$N:$N,Registro!$A:$A,AM$3,Registro!$F:$F,$A14)=0,"",SUMIFS(Registro!$N:$N,Registro!$A:$A,AM$3,Registro!$F:$F,$A14))</f>
        <v/>
      </c>
      <c r="AN14" s="17" t="str">
        <f aca="false">IF(SUMIFS(Registro!$N:$N,Registro!$A:$A,AN$3,Registro!$F:$F,$A14)=0,"",SUMIFS(Registro!$N:$N,Registro!$A:$A,AN$3,Registro!$F:$F,$A14))</f>
        <v/>
      </c>
    </row>
    <row r="15" customFormat="false" ht="15" hidden="false" customHeight="false" outlineLevel="0" collapsed="false">
      <c r="A15" s="22" t="str">
        <f aca="false">Jugadores!$B$15</f>
        <v>Jugador 11</v>
      </c>
      <c r="B15" s="17" t="str">
        <f aca="false">IF(SUMIFS(Registro!$N:$N,Registro!$A:$A,B$3,Registro!$F:$F,$A15)=0,"",SUMIFS(Registro!$N:$N,Registro!$A:$A,B$3,Registro!$F:$F,$A15))</f>
        <v/>
      </c>
      <c r="C15" s="17" t="str">
        <f aca="false">IF(SUMIFS(Registro!$N:$N,Registro!$A:$A,C$3,Registro!$F:$F,$A15)=0,"",SUMIFS(Registro!$N:$N,Registro!$A:$A,C$3,Registro!$F:$F,$A15))</f>
        <v/>
      </c>
      <c r="D15" s="17" t="str">
        <f aca="false">IF(SUMIFS(Registro!$N:$N,Registro!$A:$A,D$3,Registro!$F:$F,$A15)=0,"",SUMIFS(Registro!$N:$N,Registro!$A:$A,D$3,Registro!$F:$F,$A15))</f>
        <v/>
      </c>
      <c r="E15" s="17" t="str">
        <f aca="false">IF(SUMIFS(Registro!$N:$N,Registro!$A:$A,E$3,Registro!$F:$F,$A15)=0,"",SUMIFS(Registro!$N:$N,Registro!$A:$A,E$3,Registro!$F:$F,$A15))</f>
        <v/>
      </c>
      <c r="F15" s="17" t="str">
        <f aca="false">IF(SUMIFS(Registro!$N:$N,Registro!$A:$A,F$3,Registro!$F:$F,$A15)=0,"",SUMIFS(Registro!$N:$N,Registro!$A:$A,F$3,Registro!$F:$F,$A15))</f>
        <v/>
      </c>
      <c r="G15" s="17" t="str">
        <f aca="false">IF(SUMIFS(Registro!$N:$N,Registro!$A:$A,G$3,Registro!$F:$F,$A15)=0,"",SUMIFS(Registro!$N:$N,Registro!$A:$A,G$3,Registro!$F:$F,$A15))</f>
        <v/>
      </c>
      <c r="H15" s="17" t="str">
        <f aca="false">IF(SUMIFS(Registro!$N:$N,Registro!$A:$A,H$3,Registro!$F:$F,$A15)=0,"",SUMIFS(Registro!$N:$N,Registro!$A:$A,H$3,Registro!$F:$F,$A15))</f>
        <v/>
      </c>
      <c r="I15" s="17" t="str">
        <f aca="false">IF(SUMIFS(Registro!$N:$N,Registro!$A:$A,I$3,Registro!$F:$F,$A15)=0,"",SUMIFS(Registro!$N:$N,Registro!$A:$A,I$3,Registro!$F:$F,$A15))</f>
        <v/>
      </c>
      <c r="J15" s="17" t="str">
        <f aca="false">IF(SUMIFS(Registro!$N:$N,Registro!$A:$A,J$3,Registro!$F:$F,$A15)=0,"",SUMIFS(Registro!$N:$N,Registro!$A:$A,J$3,Registro!$F:$F,$A15))</f>
        <v/>
      </c>
      <c r="K15" s="17" t="str">
        <f aca="false">IF(SUMIFS(Registro!$N:$N,Registro!$A:$A,K$3,Registro!$F:$F,$A15)=0,"",SUMIFS(Registro!$N:$N,Registro!$A:$A,K$3,Registro!$F:$F,$A15))</f>
        <v/>
      </c>
      <c r="L15" s="17" t="str">
        <f aca="false">IF(SUMIFS(Registro!$N:$N,Registro!$A:$A,L$3,Registro!$F:$F,$A15)=0,"",SUMIFS(Registro!$N:$N,Registro!$A:$A,L$3,Registro!$F:$F,$A15))</f>
        <v/>
      </c>
      <c r="M15" s="17" t="str">
        <f aca="false">IF(SUMIFS(Registro!$N:$N,Registro!$A:$A,M$3,Registro!$F:$F,$A15)=0,"",SUMIFS(Registro!$N:$N,Registro!$A:$A,M$3,Registro!$F:$F,$A15))</f>
        <v/>
      </c>
      <c r="N15" s="17" t="str">
        <f aca="false">IF(SUMIFS(Registro!$N:$N,Registro!$A:$A,N$3,Registro!$F:$F,$A15)=0,"",SUMIFS(Registro!$N:$N,Registro!$A:$A,N$3,Registro!$F:$F,$A15))</f>
        <v/>
      </c>
      <c r="O15" s="17" t="str">
        <f aca="false">IF(SUMIFS(Registro!$N:$N,Registro!$A:$A,O$3,Registro!$F:$F,$A15)=0,"",SUMIFS(Registro!$N:$N,Registro!$A:$A,O$3,Registro!$F:$F,$A15))</f>
        <v/>
      </c>
      <c r="P15" s="17" t="str">
        <f aca="false">IF(SUMIFS(Registro!$N:$N,Registro!$A:$A,P$3,Registro!$F:$F,$A15)=0,"",SUMIFS(Registro!$N:$N,Registro!$A:$A,P$3,Registro!$F:$F,$A15))</f>
        <v/>
      </c>
      <c r="Q15" s="17" t="str">
        <f aca="false">IF(SUMIFS(Registro!$N:$N,Registro!$A:$A,Q$3,Registro!$F:$F,$A15)=0,"",SUMIFS(Registro!$N:$N,Registro!$A:$A,Q$3,Registro!$F:$F,$A15))</f>
        <v/>
      </c>
      <c r="R15" s="17" t="str">
        <f aca="false">IF(SUMIFS(Registro!$N:$N,Registro!$A:$A,R$3,Registro!$F:$F,$A15)=0,"",SUMIFS(Registro!$N:$N,Registro!$A:$A,R$3,Registro!$F:$F,$A15))</f>
        <v/>
      </c>
      <c r="S15" s="17" t="str">
        <f aca="false">IF(SUMIFS(Registro!$N:$N,Registro!$A:$A,S$3,Registro!$F:$F,$A15)=0,"",SUMIFS(Registro!$N:$N,Registro!$A:$A,S$3,Registro!$F:$F,$A15))</f>
        <v/>
      </c>
      <c r="T15" s="17" t="str">
        <f aca="false">IF(SUMIFS(Registro!$N:$N,Registro!$A:$A,T$3,Registro!$F:$F,$A15)=0,"",SUMIFS(Registro!$N:$N,Registro!$A:$A,T$3,Registro!$F:$F,$A15))</f>
        <v/>
      </c>
      <c r="U15" s="17" t="str">
        <f aca="false">IF(SUMIFS(Registro!$N:$N,Registro!$A:$A,U$3,Registro!$F:$F,$A15)=0,"",SUMIFS(Registro!$N:$N,Registro!$A:$A,U$3,Registro!$F:$F,$A15))</f>
        <v/>
      </c>
      <c r="V15" s="17" t="str">
        <f aca="false">IF(SUMIFS(Registro!$N:$N,Registro!$A:$A,V$3,Registro!$F:$F,$A15)=0,"",SUMIFS(Registro!$N:$N,Registro!$A:$A,V$3,Registro!$F:$F,$A15))</f>
        <v/>
      </c>
      <c r="W15" s="17" t="str">
        <f aca="false">IF(SUMIFS(Registro!$N:$N,Registro!$A:$A,W$3,Registro!$F:$F,$A15)=0,"",SUMIFS(Registro!$N:$N,Registro!$A:$A,W$3,Registro!$F:$F,$A15))</f>
        <v/>
      </c>
      <c r="X15" s="17" t="str">
        <f aca="false">IF(SUMIFS(Registro!$N:$N,Registro!$A:$A,X$3,Registro!$F:$F,$A15)=0,"",SUMIFS(Registro!$N:$N,Registro!$A:$A,X$3,Registro!$F:$F,$A15))</f>
        <v/>
      </c>
      <c r="Y15" s="17" t="str">
        <f aca="false">IF(SUMIFS(Registro!$N:$N,Registro!$A:$A,Y$3,Registro!$F:$F,$A15)=0,"",SUMIFS(Registro!$N:$N,Registro!$A:$A,Y$3,Registro!$F:$F,$A15))</f>
        <v/>
      </c>
      <c r="Z15" s="17" t="str">
        <f aca="false">IF(SUMIFS(Registro!$N:$N,Registro!$A:$A,Z$3,Registro!$F:$F,$A15)=0,"",SUMIFS(Registro!$N:$N,Registro!$A:$A,Z$3,Registro!$F:$F,$A15))</f>
        <v/>
      </c>
      <c r="AA15" s="17" t="str">
        <f aca="false">IF(SUMIFS(Registro!$N:$N,Registro!$A:$A,AA$3,Registro!$F:$F,$A15)=0,"",SUMIFS(Registro!$N:$N,Registro!$A:$A,AA$3,Registro!$F:$F,$A15))</f>
        <v/>
      </c>
      <c r="AB15" s="17" t="str">
        <f aca="false">IF(SUMIFS(Registro!$N:$N,Registro!$A:$A,AB$3,Registro!$F:$F,$A15)=0,"",SUMIFS(Registro!$N:$N,Registro!$A:$A,AB$3,Registro!$F:$F,$A15))</f>
        <v/>
      </c>
      <c r="AC15" s="17" t="str">
        <f aca="false">IF(SUMIFS(Registro!$N:$N,Registro!$A:$A,AC$3,Registro!$F:$F,$A15)=0,"",SUMIFS(Registro!$N:$N,Registro!$A:$A,AC$3,Registro!$F:$F,$A15))</f>
        <v/>
      </c>
      <c r="AD15" s="17" t="str">
        <f aca="false">IF(SUMIFS(Registro!$N:$N,Registro!$A:$A,AD$3,Registro!$F:$F,$A15)=0,"",SUMIFS(Registro!$N:$N,Registro!$A:$A,AD$3,Registro!$F:$F,$A15))</f>
        <v/>
      </c>
      <c r="AE15" s="17" t="str">
        <f aca="false">IF(SUMIFS(Registro!$N:$N,Registro!$A:$A,AE$3,Registro!$F:$F,$A15)=0,"",SUMIFS(Registro!$N:$N,Registro!$A:$A,AE$3,Registro!$F:$F,$A15))</f>
        <v/>
      </c>
      <c r="AF15" s="17" t="str">
        <f aca="false">IF(SUMIFS(Registro!$N:$N,Registro!$A:$A,AF$3,Registro!$F:$F,$A15)=0,"",SUMIFS(Registro!$N:$N,Registro!$A:$A,AF$3,Registro!$F:$F,$A15))</f>
        <v/>
      </c>
      <c r="AG15" s="17" t="str">
        <f aca="false">IF(SUMIFS(Registro!$N:$N,Registro!$A:$A,AG$3,Registro!$F:$F,$A15)=0,"",SUMIFS(Registro!$N:$N,Registro!$A:$A,AG$3,Registro!$F:$F,$A15))</f>
        <v/>
      </c>
      <c r="AH15" s="17" t="str">
        <f aca="false">IF(SUMIFS(Registro!$N:$N,Registro!$A:$A,AH$3,Registro!$F:$F,$A15)=0,"",SUMIFS(Registro!$N:$N,Registro!$A:$A,AH$3,Registro!$F:$F,$A15))</f>
        <v/>
      </c>
      <c r="AI15" s="17" t="str">
        <f aca="false">IF(SUMIFS(Registro!$N:$N,Registro!$A:$A,AI$3,Registro!$F:$F,$A15)=0,"",SUMIFS(Registro!$N:$N,Registro!$A:$A,AI$3,Registro!$F:$F,$A15))</f>
        <v/>
      </c>
      <c r="AJ15" s="17" t="str">
        <f aca="false">IF(SUMIFS(Registro!$N:$N,Registro!$A:$A,AJ$3,Registro!$F:$F,$A15)=0,"",SUMIFS(Registro!$N:$N,Registro!$A:$A,AJ$3,Registro!$F:$F,$A15))</f>
        <v/>
      </c>
      <c r="AK15" s="17" t="str">
        <f aca="false">IF(SUMIFS(Registro!$N:$N,Registro!$A:$A,AK$3,Registro!$F:$F,$A15)=0,"",SUMIFS(Registro!$N:$N,Registro!$A:$A,AK$3,Registro!$F:$F,$A15))</f>
        <v/>
      </c>
      <c r="AL15" s="17" t="str">
        <f aca="false">IF(SUMIFS(Registro!$N:$N,Registro!$A:$A,AL$3,Registro!$F:$F,$A15)=0,"",SUMIFS(Registro!$N:$N,Registro!$A:$A,AL$3,Registro!$F:$F,$A15))</f>
        <v/>
      </c>
      <c r="AM15" s="17" t="str">
        <f aca="false">IF(SUMIFS(Registro!$N:$N,Registro!$A:$A,AM$3,Registro!$F:$F,$A15)=0,"",SUMIFS(Registro!$N:$N,Registro!$A:$A,AM$3,Registro!$F:$F,$A15))</f>
        <v/>
      </c>
      <c r="AN15" s="17" t="str">
        <f aca="false">IF(SUMIFS(Registro!$N:$N,Registro!$A:$A,AN$3,Registro!$F:$F,$A15)=0,"",SUMIFS(Registro!$N:$N,Registro!$A:$A,AN$3,Registro!$F:$F,$A15))</f>
        <v/>
      </c>
    </row>
    <row r="16" customFormat="false" ht="15" hidden="false" customHeight="false" outlineLevel="0" collapsed="false">
      <c r="A16" s="22" t="str">
        <f aca="false">Jugadores!$B$16</f>
        <v>Jugador 12</v>
      </c>
      <c r="B16" s="17" t="str">
        <f aca="false">IF(SUMIFS(Registro!$N:$N,Registro!$A:$A,B$3,Registro!$F:$F,$A16)=0,"",SUMIFS(Registro!$N:$N,Registro!$A:$A,B$3,Registro!$F:$F,$A16))</f>
        <v/>
      </c>
      <c r="C16" s="17" t="str">
        <f aca="false">IF(SUMIFS(Registro!$N:$N,Registro!$A:$A,C$3,Registro!$F:$F,$A16)=0,"",SUMIFS(Registro!$N:$N,Registro!$A:$A,C$3,Registro!$F:$F,$A16))</f>
        <v/>
      </c>
      <c r="D16" s="17" t="str">
        <f aca="false">IF(SUMIFS(Registro!$N:$N,Registro!$A:$A,D$3,Registro!$F:$F,$A16)=0,"",SUMIFS(Registro!$N:$N,Registro!$A:$A,D$3,Registro!$F:$F,$A16))</f>
        <v/>
      </c>
      <c r="E16" s="17" t="str">
        <f aca="false">IF(SUMIFS(Registro!$N:$N,Registro!$A:$A,E$3,Registro!$F:$F,$A16)=0,"",SUMIFS(Registro!$N:$N,Registro!$A:$A,E$3,Registro!$F:$F,$A16))</f>
        <v/>
      </c>
      <c r="F16" s="17" t="str">
        <f aca="false">IF(SUMIFS(Registro!$N:$N,Registro!$A:$A,F$3,Registro!$F:$F,$A16)=0,"",SUMIFS(Registro!$N:$N,Registro!$A:$A,F$3,Registro!$F:$F,$A16))</f>
        <v/>
      </c>
      <c r="G16" s="17" t="str">
        <f aca="false">IF(SUMIFS(Registro!$N:$N,Registro!$A:$A,G$3,Registro!$F:$F,$A16)=0,"",SUMIFS(Registro!$N:$N,Registro!$A:$A,G$3,Registro!$F:$F,$A16))</f>
        <v/>
      </c>
      <c r="H16" s="17" t="str">
        <f aca="false">IF(SUMIFS(Registro!$N:$N,Registro!$A:$A,H$3,Registro!$F:$F,$A16)=0,"",SUMIFS(Registro!$N:$N,Registro!$A:$A,H$3,Registro!$F:$F,$A16))</f>
        <v/>
      </c>
      <c r="I16" s="17" t="str">
        <f aca="false">IF(SUMIFS(Registro!$N:$N,Registro!$A:$A,I$3,Registro!$F:$F,$A16)=0,"",SUMIFS(Registro!$N:$N,Registro!$A:$A,I$3,Registro!$F:$F,$A16))</f>
        <v/>
      </c>
      <c r="J16" s="17" t="str">
        <f aca="false">IF(SUMIFS(Registro!$N:$N,Registro!$A:$A,J$3,Registro!$F:$F,$A16)=0,"",SUMIFS(Registro!$N:$N,Registro!$A:$A,J$3,Registro!$F:$F,$A16))</f>
        <v/>
      </c>
      <c r="K16" s="17" t="str">
        <f aca="false">IF(SUMIFS(Registro!$N:$N,Registro!$A:$A,K$3,Registro!$F:$F,$A16)=0,"",SUMIFS(Registro!$N:$N,Registro!$A:$A,K$3,Registro!$F:$F,$A16))</f>
        <v/>
      </c>
      <c r="L16" s="17" t="str">
        <f aca="false">IF(SUMIFS(Registro!$N:$N,Registro!$A:$A,L$3,Registro!$F:$F,$A16)=0,"",SUMIFS(Registro!$N:$N,Registro!$A:$A,L$3,Registro!$F:$F,$A16))</f>
        <v/>
      </c>
      <c r="M16" s="17" t="str">
        <f aca="false">IF(SUMIFS(Registro!$N:$N,Registro!$A:$A,M$3,Registro!$F:$F,$A16)=0,"",SUMIFS(Registro!$N:$N,Registro!$A:$A,M$3,Registro!$F:$F,$A16))</f>
        <v/>
      </c>
      <c r="N16" s="17" t="str">
        <f aca="false">IF(SUMIFS(Registro!$N:$N,Registro!$A:$A,N$3,Registro!$F:$F,$A16)=0,"",SUMIFS(Registro!$N:$N,Registro!$A:$A,N$3,Registro!$F:$F,$A16))</f>
        <v/>
      </c>
      <c r="O16" s="17" t="str">
        <f aca="false">IF(SUMIFS(Registro!$N:$N,Registro!$A:$A,O$3,Registro!$F:$F,$A16)=0,"",SUMIFS(Registro!$N:$N,Registro!$A:$A,O$3,Registro!$F:$F,$A16))</f>
        <v/>
      </c>
      <c r="P16" s="17" t="str">
        <f aca="false">IF(SUMIFS(Registro!$N:$N,Registro!$A:$A,P$3,Registro!$F:$F,$A16)=0,"",SUMIFS(Registro!$N:$N,Registro!$A:$A,P$3,Registro!$F:$F,$A16))</f>
        <v/>
      </c>
      <c r="Q16" s="17" t="str">
        <f aca="false">IF(SUMIFS(Registro!$N:$N,Registro!$A:$A,Q$3,Registro!$F:$F,$A16)=0,"",SUMIFS(Registro!$N:$N,Registro!$A:$A,Q$3,Registro!$F:$F,$A16))</f>
        <v/>
      </c>
      <c r="R16" s="17" t="str">
        <f aca="false">IF(SUMIFS(Registro!$N:$N,Registro!$A:$A,R$3,Registro!$F:$F,$A16)=0,"",SUMIFS(Registro!$N:$N,Registro!$A:$A,R$3,Registro!$F:$F,$A16))</f>
        <v/>
      </c>
      <c r="S16" s="17" t="str">
        <f aca="false">IF(SUMIFS(Registro!$N:$N,Registro!$A:$A,S$3,Registro!$F:$F,$A16)=0,"",SUMIFS(Registro!$N:$N,Registro!$A:$A,S$3,Registro!$F:$F,$A16))</f>
        <v/>
      </c>
      <c r="T16" s="17" t="str">
        <f aca="false">IF(SUMIFS(Registro!$N:$N,Registro!$A:$A,T$3,Registro!$F:$F,$A16)=0,"",SUMIFS(Registro!$N:$N,Registro!$A:$A,T$3,Registro!$F:$F,$A16))</f>
        <v/>
      </c>
      <c r="U16" s="17" t="str">
        <f aca="false">IF(SUMIFS(Registro!$N:$N,Registro!$A:$A,U$3,Registro!$F:$F,$A16)=0,"",SUMIFS(Registro!$N:$N,Registro!$A:$A,U$3,Registro!$F:$F,$A16))</f>
        <v/>
      </c>
      <c r="V16" s="17" t="str">
        <f aca="false">IF(SUMIFS(Registro!$N:$N,Registro!$A:$A,V$3,Registro!$F:$F,$A16)=0,"",SUMIFS(Registro!$N:$N,Registro!$A:$A,V$3,Registro!$F:$F,$A16))</f>
        <v/>
      </c>
      <c r="W16" s="17" t="str">
        <f aca="false">IF(SUMIFS(Registro!$N:$N,Registro!$A:$A,W$3,Registro!$F:$F,$A16)=0,"",SUMIFS(Registro!$N:$N,Registro!$A:$A,W$3,Registro!$F:$F,$A16))</f>
        <v/>
      </c>
      <c r="X16" s="17" t="str">
        <f aca="false">IF(SUMIFS(Registro!$N:$N,Registro!$A:$A,X$3,Registro!$F:$F,$A16)=0,"",SUMIFS(Registro!$N:$N,Registro!$A:$A,X$3,Registro!$F:$F,$A16))</f>
        <v/>
      </c>
      <c r="Y16" s="17" t="str">
        <f aca="false">IF(SUMIFS(Registro!$N:$N,Registro!$A:$A,Y$3,Registro!$F:$F,$A16)=0,"",SUMIFS(Registro!$N:$N,Registro!$A:$A,Y$3,Registro!$F:$F,$A16))</f>
        <v/>
      </c>
      <c r="Z16" s="17" t="str">
        <f aca="false">IF(SUMIFS(Registro!$N:$N,Registro!$A:$A,Z$3,Registro!$F:$F,$A16)=0,"",SUMIFS(Registro!$N:$N,Registro!$A:$A,Z$3,Registro!$F:$F,$A16))</f>
        <v/>
      </c>
      <c r="AA16" s="17" t="str">
        <f aca="false">IF(SUMIFS(Registro!$N:$N,Registro!$A:$A,AA$3,Registro!$F:$F,$A16)=0,"",SUMIFS(Registro!$N:$N,Registro!$A:$A,AA$3,Registro!$F:$F,$A16))</f>
        <v/>
      </c>
      <c r="AB16" s="17" t="str">
        <f aca="false">IF(SUMIFS(Registro!$N:$N,Registro!$A:$A,AB$3,Registro!$F:$F,$A16)=0,"",SUMIFS(Registro!$N:$N,Registro!$A:$A,AB$3,Registro!$F:$F,$A16))</f>
        <v/>
      </c>
      <c r="AC16" s="17" t="str">
        <f aca="false">IF(SUMIFS(Registro!$N:$N,Registro!$A:$A,AC$3,Registro!$F:$F,$A16)=0,"",SUMIFS(Registro!$N:$N,Registro!$A:$A,AC$3,Registro!$F:$F,$A16))</f>
        <v/>
      </c>
      <c r="AD16" s="17" t="str">
        <f aca="false">IF(SUMIFS(Registro!$N:$N,Registro!$A:$A,AD$3,Registro!$F:$F,$A16)=0,"",SUMIFS(Registro!$N:$N,Registro!$A:$A,AD$3,Registro!$F:$F,$A16))</f>
        <v/>
      </c>
      <c r="AE16" s="17" t="str">
        <f aca="false">IF(SUMIFS(Registro!$N:$N,Registro!$A:$A,AE$3,Registro!$F:$F,$A16)=0,"",SUMIFS(Registro!$N:$N,Registro!$A:$A,AE$3,Registro!$F:$F,$A16))</f>
        <v/>
      </c>
      <c r="AF16" s="17" t="str">
        <f aca="false">IF(SUMIFS(Registro!$N:$N,Registro!$A:$A,AF$3,Registro!$F:$F,$A16)=0,"",SUMIFS(Registro!$N:$N,Registro!$A:$A,AF$3,Registro!$F:$F,$A16))</f>
        <v/>
      </c>
      <c r="AG16" s="17" t="str">
        <f aca="false">IF(SUMIFS(Registro!$N:$N,Registro!$A:$A,AG$3,Registro!$F:$F,$A16)=0,"",SUMIFS(Registro!$N:$N,Registro!$A:$A,AG$3,Registro!$F:$F,$A16))</f>
        <v/>
      </c>
      <c r="AH16" s="17" t="str">
        <f aca="false">IF(SUMIFS(Registro!$N:$N,Registro!$A:$A,AH$3,Registro!$F:$F,$A16)=0,"",SUMIFS(Registro!$N:$N,Registro!$A:$A,AH$3,Registro!$F:$F,$A16))</f>
        <v/>
      </c>
      <c r="AI16" s="17" t="str">
        <f aca="false">IF(SUMIFS(Registro!$N:$N,Registro!$A:$A,AI$3,Registro!$F:$F,$A16)=0,"",SUMIFS(Registro!$N:$N,Registro!$A:$A,AI$3,Registro!$F:$F,$A16))</f>
        <v/>
      </c>
      <c r="AJ16" s="17" t="str">
        <f aca="false">IF(SUMIFS(Registro!$N:$N,Registro!$A:$A,AJ$3,Registro!$F:$F,$A16)=0,"",SUMIFS(Registro!$N:$N,Registro!$A:$A,AJ$3,Registro!$F:$F,$A16))</f>
        <v/>
      </c>
      <c r="AK16" s="17" t="str">
        <f aca="false">IF(SUMIFS(Registro!$N:$N,Registro!$A:$A,AK$3,Registro!$F:$F,$A16)=0,"",SUMIFS(Registro!$N:$N,Registro!$A:$A,AK$3,Registro!$F:$F,$A16))</f>
        <v/>
      </c>
      <c r="AL16" s="17" t="str">
        <f aca="false">IF(SUMIFS(Registro!$N:$N,Registro!$A:$A,AL$3,Registro!$F:$F,$A16)=0,"",SUMIFS(Registro!$N:$N,Registro!$A:$A,AL$3,Registro!$F:$F,$A16))</f>
        <v/>
      </c>
      <c r="AM16" s="17" t="str">
        <f aca="false">IF(SUMIFS(Registro!$N:$N,Registro!$A:$A,AM$3,Registro!$F:$F,$A16)=0,"",SUMIFS(Registro!$N:$N,Registro!$A:$A,AM$3,Registro!$F:$F,$A16))</f>
        <v/>
      </c>
      <c r="AN16" s="17" t="str">
        <f aca="false">IF(SUMIFS(Registro!$N:$N,Registro!$A:$A,AN$3,Registro!$F:$F,$A16)=0,"",SUMIFS(Registro!$N:$N,Registro!$A:$A,AN$3,Registro!$F:$F,$A16))</f>
        <v/>
      </c>
    </row>
    <row r="17" customFormat="false" ht="15" hidden="false" customHeight="false" outlineLevel="0" collapsed="false">
      <c r="A17" s="22" t="str">
        <f aca="false">Jugadores!$B$17</f>
        <v>Jugador 13</v>
      </c>
      <c r="B17" s="17" t="str">
        <f aca="false">IF(SUMIFS(Registro!$N:$N,Registro!$A:$A,B$3,Registro!$F:$F,$A17)=0,"",SUMIFS(Registro!$N:$N,Registro!$A:$A,B$3,Registro!$F:$F,$A17))</f>
        <v/>
      </c>
      <c r="C17" s="17" t="str">
        <f aca="false">IF(SUMIFS(Registro!$N:$N,Registro!$A:$A,C$3,Registro!$F:$F,$A17)=0,"",SUMIFS(Registro!$N:$N,Registro!$A:$A,C$3,Registro!$F:$F,$A17))</f>
        <v/>
      </c>
      <c r="D17" s="17" t="str">
        <f aca="false">IF(SUMIFS(Registro!$N:$N,Registro!$A:$A,D$3,Registro!$F:$F,$A17)=0,"",SUMIFS(Registro!$N:$N,Registro!$A:$A,D$3,Registro!$F:$F,$A17))</f>
        <v/>
      </c>
      <c r="E17" s="17" t="str">
        <f aca="false">IF(SUMIFS(Registro!$N:$N,Registro!$A:$A,E$3,Registro!$F:$F,$A17)=0,"",SUMIFS(Registro!$N:$N,Registro!$A:$A,E$3,Registro!$F:$F,$A17))</f>
        <v/>
      </c>
      <c r="F17" s="17" t="str">
        <f aca="false">IF(SUMIFS(Registro!$N:$N,Registro!$A:$A,F$3,Registro!$F:$F,$A17)=0,"",SUMIFS(Registro!$N:$N,Registro!$A:$A,F$3,Registro!$F:$F,$A17))</f>
        <v/>
      </c>
      <c r="G17" s="17" t="str">
        <f aca="false">IF(SUMIFS(Registro!$N:$N,Registro!$A:$A,G$3,Registro!$F:$F,$A17)=0,"",SUMIFS(Registro!$N:$N,Registro!$A:$A,G$3,Registro!$F:$F,$A17))</f>
        <v/>
      </c>
      <c r="H17" s="17" t="str">
        <f aca="false">IF(SUMIFS(Registro!$N:$N,Registro!$A:$A,H$3,Registro!$F:$F,$A17)=0,"",SUMIFS(Registro!$N:$N,Registro!$A:$A,H$3,Registro!$F:$F,$A17))</f>
        <v/>
      </c>
      <c r="I17" s="17" t="str">
        <f aca="false">IF(SUMIFS(Registro!$N:$N,Registro!$A:$A,I$3,Registro!$F:$F,$A17)=0,"",SUMIFS(Registro!$N:$N,Registro!$A:$A,I$3,Registro!$F:$F,$A17))</f>
        <v/>
      </c>
      <c r="J17" s="17" t="str">
        <f aca="false">IF(SUMIFS(Registro!$N:$N,Registro!$A:$A,J$3,Registro!$F:$F,$A17)=0,"",SUMIFS(Registro!$N:$N,Registro!$A:$A,J$3,Registro!$F:$F,$A17))</f>
        <v/>
      </c>
      <c r="K17" s="17" t="str">
        <f aca="false">IF(SUMIFS(Registro!$N:$N,Registro!$A:$A,K$3,Registro!$F:$F,$A17)=0,"",SUMIFS(Registro!$N:$N,Registro!$A:$A,K$3,Registro!$F:$F,$A17))</f>
        <v/>
      </c>
      <c r="L17" s="17" t="str">
        <f aca="false">IF(SUMIFS(Registro!$N:$N,Registro!$A:$A,L$3,Registro!$F:$F,$A17)=0,"",SUMIFS(Registro!$N:$N,Registro!$A:$A,L$3,Registro!$F:$F,$A17))</f>
        <v/>
      </c>
      <c r="M17" s="17" t="str">
        <f aca="false">IF(SUMIFS(Registro!$N:$N,Registro!$A:$A,M$3,Registro!$F:$F,$A17)=0,"",SUMIFS(Registro!$N:$N,Registro!$A:$A,M$3,Registro!$F:$F,$A17))</f>
        <v/>
      </c>
      <c r="N17" s="17" t="str">
        <f aca="false">IF(SUMIFS(Registro!$N:$N,Registro!$A:$A,N$3,Registro!$F:$F,$A17)=0,"",SUMIFS(Registro!$N:$N,Registro!$A:$A,N$3,Registro!$F:$F,$A17))</f>
        <v/>
      </c>
      <c r="O17" s="17" t="str">
        <f aca="false">IF(SUMIFS(Registro!$N:$N,Registro!$A:$A,O$3,Registro!$F:$F,$A17)=0,"",SUMIFS(Registro!$N:$N,Registro!$A:$A,O$3,Registro!$F:$F,$A17))</f>
        <v/>
      </c>
      <c r="P17" s="17" t="str">
        <f aca="false">IF(SUMIFS(Registro!$N:$N,Registro!$A:$A,P$3,Registro!$F:$F,$A17)=0,"",SUMIFS(Registro!$N:$N,Registro!$A:$A,P$3,Registro!$F:$F,$A17))</f>
        <v/>
      </c>
      <c r="Q17" s="17" t="str">
        <f aca="false">IF(SUMIFS(Registro!$N:$N,Registro!$A:$A,Q$3,Registro!$F:$F,$A17)=0,"",SUMIFS(Registro!$N:$N,Registro!$A:$A,Q$3,Registro!$F:$F,$A17))</f>
        <v/>
      </c>
      <c r="R17" s="17" t="str">
        <f aca="false">IF(SUMIFS(Registro!$N:$N,Registro!$A:$A,R$3,Registro!$F:$F,$A17)=0,"",SUMIFS(Registro!$N:$N,Registro!$A:$A,R$3,Registro!$F:$F,$A17))</f>
        <v/>
      </c>
      <c r="S17" s="17" t="str">
        <f aca="false">IF(SUMIFS(Registro!$N:$N,Registro!$A:$A,S$3,Registro!$F:$F,$A17)=0,"",SUMIFS(Registro!$N:$N,Registro!$A:$A,S$3,Registro!$F:$F,$A17))</f>
        <v/>
      </c>
      <c r="T17" s="17" t="str">
        <f aca="false">IF(SUMIFS(Registro!$N:$N,Registro!$A:$A,T$3,Registro!$F:$F,$A17)=0,"",SUMIFS(Registro!$N:$N,Registro!$A:$A,T$3,Registro!$F:$F,$A17))</f>
        <v/>
      </c>
      <c r="U17" s="17" t="str">
        <f aca="false">IF(SUMIFS(Registro!$N:$N,Registro!$A:$A,U$3,Registro!$F:$F,$A17)=0,"",SUMIFS(Registro!$N:$N,Registro!$A:$A,U$3,Registro!$F:$F,$A17))</f>
        <v/>
      </c>
      <c r="V17" s="17" t="str">
        <f aca="false">IF(SUMIFS(Registro!$N:$N,Registro!$A:$A,V$3,Registro!$F:$F,$A17)=0,"",SUMIFS(Registro!$N:$N,Registro!$A:$A,V$3,Registro!$F:$F,$A17))</f>
        <v/>
      </c>
      <c r="W17" s="17" t="str">
        <f aca="false">IF(SUMIFS(Registro!$N:$N,Registro!$A:$A,W$3,Registro!$F:$F,$A17)=0,"",SUMIFS(Registro!$N:$N,Registro!$A:$A,W$3,Registro!$F:$F,$A17))</f>
        <v/>
      </c>
      <c r="X17" s="17" t="str">
        <f aca="false">IF(SUMIFS(Registro!$N:$N,Registro!$A:$A,X$3,Registro!$F:$F,$A17)=0,"",SUMIFS(Registro!$N:$N,Registro!$A:$A,X$3,Registro!$F:$F,$A17))</f>
        <v/>
      </c>
      <c r="Y17" s="17" t="str">
        <f aca="false">IF(SUMIFS(Registro!$N:$N,Registro!$A:$A,Y$3,Registro!$F:$F,$A17)=0,"",SUMIFS(Registro!$N:$N,Registro!$A:$A,Y$3,Registro!$F:$F,$A17))</f>
        <v/>
      </c>
      <c r="Z17" s="17" t="str">
        <f aca="false">IF(SUMIFS(Registro!$N:$N,Registro!$A:$A,Z$3,Registro!$F:$F,$A17)=0,"",SUMIFS(Registro!$N:$N,Registro!$A:$A,Z$3,Registro!$F:$F,$A17))</f>
        <v/>
      </c>
      <c r="AA17" s="17" t="str">
        <f aca="false">IF(SUMIFS(Registro!$N:$N,Registro!$A:$A,AA$3,Registro!$F:$F,$A17)=0,"",SUMIFS(Registro!$N:$N,Registro!$A:$A,AA$3,Registro!$F:$F,$A17))</f>
        <v/>
      </c>
      <c r="AB17" s="17" t="str">
        <f aca="false">IF(SUMIFS(Registro!$N:$N,Registro!$A:$A,AB$3,Registro!$F:$F,$A17)=0,"",SUMIFS(Registro!$N:$N,Registro!$A:$A,AB$3,Registro!$F:$F,$A17))</f>
        <v/>
      </c>
      <c r="AC17" s="17" t="str">
        <f aca="false">IF(SUMIFS(Registro!$N:$N,Registro!$A:$A,AC$3,Registro!$F:$F,$A17)=0,"",SUMIFS(Registro!$N:$N,Registro!$A:$A,AC$3,Registro!$F:$F,$A17))</f>
        <v/>
      </c>
      <c r="AD17" s="17" t="str">
        <f aca="false">IF(SUMIFS(Registro!$N:$N,Registro!$A:$A,AD$3,Registro!$F:$F,$A17)=0,"",SUMIFS(Registro!$N:$N,Registro!$A:$A,AD$3,Registro!$F:$F,$A17))</f>
        <v/>
      </c>
      <c r="AE17" s="17" t="str">
        <f aca="false">IF(SUMIFS(Registro!$N:$N,Registro!$A:$A,AE$3,Registro!$F:$F,$A17)=0,"",SUMIFS(Registro!$N:$N,Registro!$A:$A,AE$3,Registro!$F:$F,$A17))</f>
        <v/>
      </c>
      <c r="AF17" s="17" t="str">
        <f aca="false">IF(SUMIFS(Registro!$N:$N,Registro!$A:$A,AF$3,Registro!$F:$F,$A17)=0,"",SUMIFS(Registro!$N:$N,Registro!$A:$A,AF$3,Registro!$F:$F,$A17))</f>
        <v/>
      </c>
      <c r="AG17" s="17" t="str">
        <f aca="false">IF(SUMIFS(Registro!$N:$N,Registro!$A:$A,AG$3,Registro!$F:$F,$A17)=0,"",SUMIFS(Registro!$N:$N,Registro!$A:$A,AG$3,Registro!$F:$F,$A17))</f>
        <v/>
      </c>
      <c r="AH17" s="17" t="str">
        <f aca="false">IF(SUMIFS(Registro!$N:$N,Registro!$A:$A,AH$3,Registro!$F:$F,$A17)=0,"",SUMIFS(Registro!$N:$N,Registro!$A:$A,AH$3,Registro!$F:$F,$A17))</f>
        <v/>
      </c>
      <c r="AI17" s="17" t="str">
        <f aca="false">IF(SUMIFS(Registro!$N:$N,Registro!$A:$A,AI$3,Registro!$F:$F,$A17)=0,"",SUMIFS(Registro!$N:$N,Registro!$A:$A,AI$3,Registro!$F:$F,$A17))</f>
        <v/>
      </c>
      <c r="AJ17" s="17" t="str">
        <f aca="false">IF(SUMIFS(Registro!$N:$N,Registro!$A:$A,AJ$3,Registro!$F:$F,$A17)=0,"",SUMIFS(Registro!$N:$N,Registro!$A:$A,AJ$3,Registro!$F:$F,$A17))</f>
        <v/>
      </c>
      <c r="AK17" s="17" t="str">
        <f aca="false">IF(SUMIFS(Registro!$N:$N,Registro!$A:$A,AK$3,Registro!$F:$F,$A17)=0,"",SUMIFS(Registro!$N:$N,Registro!$A:$A,AK$3,Registro!$F:$F,$A17))</f>
        <v/>
      </c>
      <c r="AL17" s="17" t="str">
        <f aca="false">IF(SUMIFS(Registro!$N:$N,Registro!$A:$A,AL$3,Registro!$F:$F,$A17)=0,"",SUMIFS(Registro!$N:$N,Registro!$A:$A,AL$3,Registro!$F:$F,$A17))</f>
        <v/>
      </c>
      <c r="AM17" s="17" t="str">
        <f aca="false">IF(SUMIFS(Registro!$N:$N,Registro!$A:$A,AM$3,Registro!$F:$F,$A17)=0,"",SUMIFS(Registro!$N:$N,Registro!$A:$A,AM$3,Registro!$F:$F,$A17))</f>
        <v/>
      </c>
      <c r="AN17" s="17" t="str">
        <f aca="false">IF(SUMIFS(Registro!$N:$N,Registro!$A:$A,AN$3,Registro!$F:$F,$A17)=0,"",SUMIFS(Registro!$N:$N,Registro!$A:$A,AN$3,Registro!$F:$F,$A17))</f>
        <v/>
      </c>
    </row>
    <row r="18" customFormat="false" ht="15" hidden="false" customHeight="false" outlineLevel="0" collapsed="false">
      <c r="A18" s="22" t="str">
        <f aca="false">Jugadores!$B$18</f>
        <v>Jugador 14</v>
      </c>
      <c r="B18" s="17" t="str">
        <f aca="false">IF(SUMIFS(Registro!$N:$N,Registro!$A:$A,B$3,Registro!$F:$F,$A18)=0,"",SUMIFS(Registro!$N:$N,Registro!$A:$A,B$3,Registro!$F:$F,$A18))</f>
        <v/>
      </c>
      <c r="C18" s="17" t="str">
        <f aca="false">IF(SUMIFS(Registro!$N:$N,Registro!$A:$A,C$3,Registro!$F:$F,$A18)=0,"",SUMIFS(Registro!$N:$N,Registro!$A:$A,C$3,Registro!$F:$F,$A18))</f>
        <v/>
      </c>
      <c r="D18" s="17" t="str">
        <f aca="false">IF(SUMIFS(Registro!$N:$N,Registro!$A:$A,D$3,Registro!$F:$F,$A18)=0,"",SUMIFS(Registro!$N:$N,Registro!$A:$A,D$3,Registro!$F:$F,$A18))</f>
        <v/>
      </c>
      <c r="E18" s="17" t="str">
        <f aca="false">IF(SUMIFS(Registro!$N:$N,Registro!$A:$A,E$3,Registro!$F:$F,$A18)=0,"",SUMIFS(Registro!$N:$N,Registro!$A:$A,E$3,Registro!$F:$F,$A18))</f>
        <v/>
      </c>
      <c r="F18" s="17" t="str">
        <f aca="false">IF(SUMIFS(Registro!$N:$N,Registro!$A:$A,F$3,Registro!$F:$F,$A18)=0,"",SUMIFS(Registro!$N:$N,Registro!$A:$A,F$3,Registro!$F:$F,$A18))</f>
        <v/>
      </c>
      <c r="G18" s="17" t="str">
        <f aca="false">IF(SUMIFS(Registro!$N:$N,Registro!$A:$A,G$3,Registro!$F:$F,$A18)=0,"",SUMIFS(Registro!$N:$N,Registro!$A:$A,G$3,Registro!$F:$F,$A18))</f>
        <v/>
      </c>
      <c r="H18" s="17" t="str">
        <f aca="false">IF(SUMIFS(Registro!$N:$N,Registro!$A:$A,H$3,Registro!$F:$F,$A18)=0,"",SUMIFS(Registro!$N:$N,Registro!$A:$A,H$3,Registro!$F:$F,$A18))</f>
        <v/>
      </c>
      <c r="I18" s="17" t="str">
        <f aca="false">IF(SUMIFS(Registro!$N:$N,Registro!$A:$A,I$3,Registro!$F:$F,$A18)=0,"",SUMIFS(Registro!$N:$N,Registro!$A:$A,I$3,Registro!$F:$F,$A18))</f>
        <v/>
      </c>
      <c r="J18" s="17" t="str">
        <f aca="false">IF(SUMIFS(Registro!$N:$N,Registro!$A:$A,J$3,Registro!$F:$F,$A18)=0,"",SUMIFS(Registro!$N:$N,Registro!$A:$A,J$3,Registro!$F:$F,$A18))</f>
        <v/>
      </c>
      <c r="K18" s="17" t="str">
        <f aca="false">IF(SUMIFS(Registro!$N:$N,Registro!$A:$A,K$3,Registro!$F:$F,$A18)=0,"",SUMIFS(Registro!$N:$N,Registro!$A:$A,K$3,Registro!$F:$F,$A18))</f>
        <v/>
      </c>
      <c r="L18" s="17" t="str">
        <f aca="false">IF(SUMIFS(Registro!$N:$N,Registro!$A:$A,L$3,Registro!$F:$F,$A18)=0,"",SUMIFS(Registro!$N:$N,Registro!$A:$A,L$3,Registro!$F:$F,$A18))</f>
        <v/>
      </c>
      <c r="M18" s="17" t="str">
        <f aca="false">IF(SUMIFS(Registro!$N:$N,Registro!$A:$A,M$3,Registro!$F:$F,$A18)=0,"",SUMIFS(Registro!$N:$N,Registro!$A:$A,M$3,Registro!$F:$F,$A18))</f>
        <v/>
      </c>
      <c r="N18" s="17" t="str">
        <f aca="false">IF(SUMIFS(Registro!$N:$N,Registro!$A:$A,N$3,Registro!$F:$F,$A18)=0,"",SUMIFS(Registro!$N:$N,Registro!$A:$A,N$3,Registro!$F:$F,$A18))</f>
        <v/>
      </c>
      <c r="O18" s="17" t="str">
        <f aca="false">IF(SUMIFS(Registro!$N:$N,Registro!$A:$A,O$3,Registro!$F:$F,$A18)=0,"",SUMIFS(Registro!$N:$N,Registro!$A:$A,O$3,Registro!$F:$F,$A18))</f>
        <v/>
      </c>
      <c r="P18" s="17" t="str">
        <f aca="false">IF(SUMIFS(Registro!$N:$N,Registro!$A:$A,P$3,Registro!$F:$F,$A18)=0,"",SUMIFS(Registro!$N:$N,Registro!$A:$A,P$3,Registro!$F:$F,$A18))</f>
        <v/>
      </c>
      <c r="Q18" s="17" t="str">
        <f aca="false">IF(SUMIFS(Registro!$N:$N,Registro!$A:$A,Q$3,Registro!$F:$F,$A18)=0,"",SUMIFS(Registro!$N:$N,Registro!$A:$A,Q$3,Registro!$F:$F,$A18))</f>
        <v/>
      </c>
      <c r="R18" s="17" t="str">
        <f aca="false">IF(SUMIFS(Registro!$N:$N,Registro!$A:$A,R$3,Registro!$F:$F,$A18)=0,"",SUMIFS(Registro!$N:$N,Registro!$A:$A,R$3,Registro!$F:$F,$A18))</f>
        <v/>
      </c>
      <c r="S18" s="17" t="str">
        <f aca="false">IF(SUMIFS(Registro!$N:$N,Registro!$A:$A,S$3,Registro!$F:$F,$A18)=0,"",SUMIFS(Registro!$N:$N,Registro!$A:$A,S$3,Registro!$F:$F,$A18))</f>
        <v/>
      </c>
      <c r="T18" s="17" t="str">
        <f aca="false">IF(SUMIFS(Registro!$N:$N,Registro!$A:$A,T$3,Registro!$F:$F,$A18)=0,"",SUMIFS(Registro!$N:$N,Registro!$A:$A,T$3,Registro!$F:$F,$A18))</f>
        <v/>
      </c>
      <c r="U18" s="17" t="str">
        <f aca="false">IF(SUMIFS(Registro!$N:$N,Registro!$A:$A,U$3,Registro!$F:$F,$A18)=0,"",SUMIFS(Registro!$N:$N,Registro!$A:$A,U$3,Registro!$F:$F,$A18))</f>
        <v/>
      </c>
      <c r="V18" s="17" t="str">
        <f aca="false">IF(SUMIFS(Registro!$N:$N,Registro!$A:$A,V$3,Registro!$F:$F,$A18)=0,"",SUMIFS(Registro!$N:$N,Registro!$A:$A,V$3,Registro!$F:$F,$A18))</f>
        <v/>
      </c>
      <c r="W18" s="17" t="str">
        <f aca="false">IF(SUMIFS(Registro!$N:$N,Registro!$A:$A,W$3,Registro!$F:$F,$A18)=0,"",SUMIFS(Registro!$N:$N,Registro!$A:$A,W$3,Registro!$F:$F,$A18))</f>
        <v/>
      </c>
      <c r="X18" s="17" t="str">
        <f aca="false">IF(SUMIFS(Registro!$N:$N,Registro!$A:$A,X$3,Registro!$F:$F,$A18)=0,"",SUMIFS(Registro!$N:$N,Registro!$A:$A,X$3,Registro!$F:$F,$A18))</f>
        <v/>
      </c>
      <c r="Y18" s="17" t="str">
        <f aca="false">IF(SUMIFS(Registro!$N:$N,Registro!$A:$A,Y$3,Registro!$F:$F,$A18)=0,"",SUMIFS(Registro!$N:$N,Registro!$A:$A,Y$3,Registro!$F:$F,$A18))</f>
        <v/>
      </c>
      <c r="Z18" s="17" t="str">
        <f aca="false">IF(SUMIFS(Registro!$N:$N,Registro!$A:$A,Z$3,Registro!$F:$F,$A18)=0,"",SUMIFS(Registro!$N:$N,Registro!$A:$A,Z$3,Registro!$F:$F,$A18))</f>
        <v/>
      </c>
      <c r="AA18" s="17" t="str">
        <f aca="false">IF(SUMIFS(Registro!$N:$N,Registro!$A:$A,AA$3,Registro!$F:$F,$A18)=0,"",SUMIFS(Registro!$N:$N,Registro!$A:$A,AA$3,Registro!$F:$F,$A18))</f>
        <v/>
      </c>
      <c r="AB18" s="17" t="str">
        <f aca="false">IF(SUMIFS(Registro!$N:$N,Registro!$A:$A,AB$3,Registro!$F:$F,$A18)=0,"",SUMIFS(Registro!$N:$N,Registro!$A:$A,AB$3,Registro!$F:$F,$A18))</f>
        <v/>
      </c>
      <c r="AC18" s="17" t="str">
        <f aca="false">IF(SUMIFS(Registro!$N:$N,Registro!$A:$A,AC$3,Registro!$F:$F,$A18)=0,"",SUMIFS(Registro!$N:$N,Registro!$A:$A,AC$3,Registro!$F:$F,$A18))</f>
        <v/>
      </c>
      <c r="AD18" s="17" t="str">
        <f aca="false">IF(SUMIFS(Registro!$N:$N,Registro!$A:$A,AD$3,Registro!$F:$F,$A18)=0,"",SUMIFS(Registro!$N:$N,Registro!$A:$A,AD$3,Registro!$F:$F,$A18))</f>
        <v/>
      </c>
      <c r="AE18" s="17" t="str">
        <f aca="false">IF(SUMIFS(Registro!$N:$N,Registro!$A:$A,AE$3,Registro!$F:$F,$A18)=0,"",SUMIFS(Registro!$N:$N,Registro!$A:$A,AE$3,Registro!$F:$F,$A18))</f>
        <v/>
      </c>
      <c r="AF18" s="17" t="str">
        <f aca="false">IF(SUMIFS(Registro!$N:$N,Registro!$A:$A,AF$3,Registro!$F:$F,$A18)=0,"",SUMIFS(Registro!$N:$N,Registro!$A:$A,AF$3,Registro!$F:$F,$A18))</f>
        <v/>
      </c>
      <c r="AG18" s="17" t="str">
        <f aca="false">IF(SUMIFS(Registro!$N:$N,Registro!$A:$A,AG$3,Registro!$F:$F,$A18)=0,"",SUMIFS(Registro!$N:$N,Registro!$A:$A,AG$3,Registro!$F:$F,$A18))</f>
        <v/>
      </c>
      <c r="AH18" s="17" t="str">
        <f aca="false">IF(SUMIFS(Registro!$N:$N,Registro!$A:$A,AH$3,Registro!$F:$F,$A18)=0,"",SUMIFS(Registro!$N:$N,Registro!$A:$A,AH$3,Registro!$F:$F,$A18))</f>
        <v/>
      </c>
      <c r="AI18" s="17" t="str">
        <f aca="false">IF(SUMIFS(Registro!$N:$N,Registro!$A:$A,AI$3,Registro!$F:$F,$A18)=0,"",SUMIFS(Registro!$N:$N,Registro!$A:$A,AI$3,Registro!$F:$F,$A18))</f>
        <v/>
      </c>
      <c r="AJ18" s="17" t="str">
        <f aca="false">IF(SUMIFS(Registro!$N:$N,Registro!$A:$A,AJ$3,Registro!$F:$F,$A18)=0,"",SUMIFS(Registro!$N:$N,Registro!$A:$A,AJ$3,Registro!$F:$F,$A18))</f>
        <v/>
      </c>
      <c r="AK18" s="17" t="str">
        <f aca="false">IF(SUMIFS(Registro!$N:$N,Registro!$A:$A,AK$3,Registro!$F:$F,$A18)=0,"",SUMIFS(Registro!$N:$N,Registro!$A:$A,AK$3,Registro!$F:$F,$A18))</f>
        <v/>
      </c>
      <c r="AL18" s="17" t="str">
        <f aca="false">IF(SUMIFS(Registro!$N:$N,Registro!$A:$A,AL$3,Registro!$F:$F,$A18)=0,"",SUMIFS(Registro!$N:$N,Registro!$A:$A,AL$3,Registro!$F:$F,$A18))</f>
        <v/>
      </c>
      <c r="AM18" s="17" t="str">
        <f aca="false">IF(SUMIFS(Registro!$N:$N,Registro!$A:$A,AM$3,Registro!$F:$F,$A18)=0,"",SUMIFS(Registro!$N:$N,Registro!$A:$A,AM$3,Registro!$F:$F,$A18))</f>
        <v/>
      </c>
      <c r="AN18" s="17" t="str">
        <f aca="false">IF(SUMIFS(Registro!$N:$N,Registro!$A:$A,AN$3,Registro!$F:$F,$A18)=0,"",SUMIFS(Registro!$N:$N,Registro!$A:$A,AN$3,Registro!$F:$F,$A18))</f>
        <v/>
      </c>
    </row>
  </sheetData>
  <conditionalFormatting sqref="B5:AN18">
    <cfRule type="colorScale" priority="2">
      <colorScale>
        <cfvo type="num" val="0"/>
        <cfvo type="num" val="4"/>
        <cfvo type="num" val="8"/>
        <color rgb="FFC6EFCE"/>
        <color rgb="FFFFEB9C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0" min="2" style="0" width="5.4"/>
  </cols>
  <sheetData>
    <row r="1" customFormat="false" ht="16.15" hidden="false" customHeight="false" outlineLevel="0" collapsed="false">
      <c r="A1" s="6" t="s">
        <v>114</v>
      </c>
    </row>
    <row r="2" customFormat="false" ht="15" hidden="false" customHeight="false" outlineLevel="0" collapsed="false">
      <c r="A2" s="7" t="s">
        <v>112</v>
      </c>
    </row>
    <row r="3" customFormat="false" ht="15" hidden="false" customHeight="false" outlineLevel="0" collapsed="false">
      <c r="A3" s="19" t="s">
        <v>113</v>
      </c>
      <c r="B3" s="20" t="n">
        <v>1</v>
      </c>
      <c r="C3" s="20" t="n">
        <v>2</v>
      </c>
      <c r="D3" s="20" t="n">
        <v>3</v>
      </c>
      <c r="E3" s="20" t="n">
        <v>4</v>
      </c>
      <c r="F3" s="20" t="n">
        <v>5</v>
      </c>
      <c r="G3" s="20" t="n">
        <v>6</v>
      </c>
      <c r="H3" s="20" t="n">
        <v>7</v>
      </c>
      <c r="I3" s="20" t="n">
        <v>8</v>
      </c>
      <c r="J3" s="20" t="n">
        <v>9</v>
      </c>
      <c r="K3" s="20" t="n">
        <v>10</v>
      </c>
      <c r="L3" s="20" t="n">
        <v>11</v>
      </c>
      <c r="M3" s="20" t="n">
        <v>12</v>
      </c>
      <c r="N3" s="20" t="n">
        <v>13</v>
      </c>
      <c r="O3" s="20" t="n">
        <v>14</v>
      </c>
      <c r="P3" s="20" t="n">
        <v>15</v>
      </c>
      <c r="Q3" s="20" t="n">
        <v>16</v>
      </c>
      <c r="R3" s="20" t="n">
        <v>17</v>
      </c>
      <c r="S3" s="20" t="n">
        <v>18</v>
      </c>
      <c r="T3" s="20" t="n">
        <v>19</v>
      </c>
      <c r="U3" s="20" t="n">
        <v>20</v>
      </c>
      <c r="V3" s="20" t="n">
        <v>21</v>
      </c>
      <c r="W3" s="20" t="n">
        <v>22</v>
      </c>
      <c r="X3" s="20" t="n">
        <v>23</v>
      </c>
      <c r="Y3" s="20" t="n">
        <v>24</v>
      </c>
      <c r="Z3" s="20" t="n">
        <v>25</v>
      </c>
      <c r="AA3" s="20" t="n">
        <v>26</v>
      </c>
      <c r="AB3" s="20" t="n">
        <v>27</v>
      </c>
      <c r="AC3" s="20" t="n">
        <v>28</v>
      </c>
      <c r="AD3" s="20" t="n">
        <v>29</v>
      </c>
      <c r="AE3" s="20" t="n">
        <v>30</v>
      </c>
      <c r="AF3" s="20" t="n">
        <v>31</v>
      </c>
      <c r="AG3" s="20" t="n">
        <v>32</v>
      </c>
      <c r="AH3" s="20" t="n">
        <v>33</v>
      </c>
      <c r="AI3" s="20" t="n">
        <v>34</v>
      </c>
      <c r="AJ3" s="20" t="n">
        <v>35</v>
      </c>
      <c r="AK3" s="20" t="n">
        <v>36</v>
      </c>
      <c r="AL3" s="20" t="n">
        <v>37</v>
      </c>
      <c r="AM3" s="20" t="n">
        <v>38</v>
      </c>
      <c r="AN3" s="20" t="n">
        <v>39</v>
      </c>
    </row>
    <row r="4" customFormat="false" ht="15" hidden="false" customHeight="false" outlineLevel="0" collapsed="false">
      <c r="A4" s="19" t="s">
        <v>26</v>
      </c>
      <c r="B4" s="21" t="s">
        <v>70</v>
      </c>
      <c r="C4" s="21" t="s">
        <v>70</v>
      </c>
      <c r="D4" s="21" t="s">
        <v>70</v>
      </c>
      <c r="E4" s="21" t="s">
        <v>70</v>
      </c>
      <c r="F4" s="21" t="s">
        <v>74</v>
      </c>
      <c r="G4" s="21" t="s">
        <v>74</v>
      </c>
      <c r="H4" s="21" t="s">
        <v>74</v>
      </c>
      <c r="I4" s="21" t="s">
        <v>74</v>
      </c>
      <c r="J4" s="21" t="s">
        <v>74</v>
      </c>
      <c r="K4" s="21" t="s">
        <v>74</v>
      </c>
      <c r="L4" s="21" t="s">
        <v>74</v>
      </c>
      <c r="M4" s="21" t="s">
        <v>74</v>
      </c>
      <c r="N4" s="21" t="s">
        <v>82</v>
      </c>
      <c r="O4" s="21" t="s">
        <v>82</v>
      </c>
      <c r="P4" s="21" t="s">
        <v>82</v>
      </c>
      <c r="Q4" s="21" t="s">
        <v>85</v>
      </c>
      <c r="R4" s="21" t="s">
        <v>85</v>
      </c>
      <c r="S4" s="21" t="s">
        <v>85</v>
      </c>
      <c r="T4" s="21" t="s">
        <v>85</v>
      </c>
      <c r="U4" s="21" t="s">
        <v>87</v>
      </c>
      <c r="V4" s="21" t="s">
        <v>87</v>
      </c>
      <c r="W4" s="21" t="s">
        <v>87</v>
      </c>
      <c r="X4" s="21" t="s">
        <v>87</v>
      </c>
      <c r="Y4" s="21" t="s">
        <v>87</v>
      </c>
      <c r="Z4" s="21" t="s">
        <v>87</v>
      </c>
      <c r="AA4" s="21" t="s">
        <v>94</v>
      </c>
      <c r="AB4" s="21" t="s">
        <v>94</v>
      </c>
      <c r="AC4" s="21" t="s">
        <v>97</v>
      </c>
      <c r="AD4" s="21" t="s">
        <v>97</v>
      </c>
      <c r="AE4" s="21" t="s">
        <v>97</v>
      </c>
      <c r="AF4" s="21" t="s">
        <v>100</v>
      </c>
      <c r="AG4" s="21" t="s">
        <v>100</v>
      </c>
      <c r="AH4" s="21" t="s">
        <v>100</v>
      </c>
      <c r="AI4" s="21" t="s">
        <v>104</v>
      </c>
      <c r="AJ4" s="21" t="s">
        <v>104</v>
      </c>
      <c r="AK4" s="21" t="s">
        <v>106</v>
      </c>
      <c r="AL4" s="21" t="s">
        <v>106</v>
      </c>
      <c r="AM4" s="21" t="s">
        <v>106</v>
      </c>
      <c r="AN4" s="21" t="s">
        <v>106</v>
      </c>
    </row>
    <row r="5" customFormat="false" ht="15" hidden="false" customHeight="false" outlineLevel="0" collapsed="false">
      <c r="A5" s="22" t="str">
        <f aca="false">Jugadores!$B$5</f>
        <v>Jugador 1</v>
      </c>
      <c r="B5" s="17" t="str">
        <f aca="false">IF(SUMIFS(Registro!$J:$J,Registro!$A:$A,B$3,Registro!$F:$F,$A5)=0,"",SUMIFS(Registro!$J:$J,Registro!$A:$A,B$3,Registro!$F:$F,$A5))</f>
        <v/>
      </c>
      <c r="C5" s="17" t="str">
        <f aca="false">IF(SUMIFS(Registro!$J:$J,Registro!$A:$A,C$3,Registro!$F:$F,$A5)=0,"",SUMIFS(Registro!$J:$J,Registro!$A:$A,C$3,Registro!$F:$F,$A5))</f>
        <v/>
      </c>
      <c r="D5" s="17" t="str">
        <f aca="false">IF(SUMIFS(Registro!$J:$J,Registro!$A:$A,D$3,Registro!$F:$F,$A5)=0,"",SUMIFS(Registro!$J:$J,Registro!$A:$A,D$3,Registro!$F:$F,$A5))</f>
        <v/>
      </c>
      <c r="E5" s="17" t="str">
        <f aca="false">IF(SUMIFS(Registro!$J:$J,Registro!$A:$A,E$3,Registro!$F:$F,$A5)=0,"",SUMIFS(Registro!$J:$J,Registro!$A:$A,E$3,Registro!$F:$F,$A5))</f>
        <v/>
      </c>
      <c r="F5" s="17" t="str">
        <f aca="false">IF(SUMIFS(Registro!$J:$J,Registro!$A:$A,F$3,Registro!$F:$F,$A5)=0,"",SUMIFS(Registro!$J:$J,Registro!$A:$A,F$3,Registro!$F:$F,$A5))</f>
        <v/>
      </c>
      <c r="G5" s="17" t="str">
        <f aca="false">IF(SUMIFS(Registro!$J:$J,Registro!$A:$A,G$3,Registro!$F:$F,$A5)=0,"",SUMIFS(Registro!$J:$J,Registro!$A:$A,G$3,Registro!$F:$F,$A5))</f>
        <v/>
      </c>
      <c r="H5" s="17" t="str">
        <f aca="false">IF(SUMIFS(Registro!$J:$J,Registro!$A:$A,H$3,Registro!$F:$F,$A5)=0,"",SUMIFS(Registro!$J:$J,Registro!$A:$A,H$3,Registro!$F:$F,$A5))</f>
        <v/>
      </c>
      <c r="I5" s="17" t="str">
        <f aca="false">IF(SUMIFS(Registro!$J:$J,Registro!$A:$A,I$3,Registro!$F:$F,$A5)=0,"",SUMIFS(Registro!$J:$J,Registro!$A:$A,I$3,Registro!$F:$F,$A5))</f>
        <v/>
      </c>
      <c r="J5" s="17" t="str">
        <f aca="false">IF(SUMIFS(Registro!$J:$J,Registro!$A:$A,J$3,Registro!$F:$F,$A5)=0,"",SUMIFS(Registro!$J:$J,Registro!$A:$A,J$3,Registro!$F:$F,$A5))</f>
        <v/>
      </c>
      <c r="K5" s="17" t="str">
        <f aca="false">IF(SUMIFS(Registro!$J:$J,Registro!$A:$A,K$3,Registro!$F:$F,$A5)=0,"",SUMIFS(Registro!$J:$J,Registro!$A:$A,K$3,Registro!$F:$F,$A5))</f>
        <v/>
      </c>
      <c r="L5" s="17" t="str">
        <f aca="false">IF(SUMIFS(Registro!$J:$J,Registro!$A:$A,L$3,Registro!$F:$F,$A5)=0,"",SUMIFS(Registro!$J:$J,Registro!$A:$A,L$3,Registro!$F:$F,$A5))</f>
        <v/>
      </c>
      <c r="M5" s="17" t="str">
        <f aca="false">IF(SUMIFS(Registro!$J:$J,Registro!$A:$A,M$3,Registro!$F:$F,$A5)=0,"",SUMIFS(Registro!$J:$J,Registro!$A:$A,M$3,Registro!$F:$F,$A5))</f>
        <v/>
      </c>
      <c r="N5" s="17" t="str">
        <f aca="false">IF(SUMIFS(Registro!$J:$J,Registro!$A:$A,N$3,Registro!$F:$F,$A5)=0,"",SUMIFS(Registro!$J:$J,Registro!$A:$A,N$3,Registro!$F:$F,$A5))</f>
        <v/>
      </c>
      <c r="O5" s="17" t="str">
        <f aca="false">IF(SUMIFS(Registro!$J:$J,Registro!$A:$A,O$3,Registro!$F:$F,$A5)=0,"",SUMIFS(Registro!$J:$J,Registro!$A:$A,O$3,Registro!$F:$F,$A5))</f>
        <v/>
      </c>
      <c r="P5" s="17" t="str">
        <f aca="false">IF(SUMIFS(Registro!$J:$J,Registro!$A:$A,P$3,Registro!$F:$F,$A5)=0,"",SUMIFS(Registro!$J:$J,Registro!$A:$A,P$3,Registro!$F:$F,$A5))</f>
        <v/>
      </c>
      <c r="Q5" s="17" t="str">
        <f aca="false">IF(SUMIFS(Registro!$J:$J,Registro!$A:$A,Q$3,Registro!$F:$F,$A5)=0,"",SUMIFS(Registro!$J:$J,Registro!$A:$A,Q$3,Registro!$F:$F,$A5))</f>
        <v/>
      </c>
      <c r="R5" s="17" t="str">
        <f aca="false">IF(SUMIFS(Registro!$J:$J,Registro!$A:$A,R$3,Registro!$F:$F,$A5)=0,"",SUMIFS(Registro!$J:$J,Registro!$A:$A,R$3,Registro!$F:$F,$A5))</f>
        <v/>
      </c>
      <c r="S5" s="17" t="str">
        <f aca="false">IF(SUMIFS(Registro!$J:$J,Registro!$A:$A,S$3,Registro!$F:$F,$A5)=0,"",SUMIFS(Registro!$J:$J,Registro!$A:$A,S$3,Registro!$F:$F,$A5))</f>
        <v/>
      </c>
      <c r="T5" s="17" t="str">
        <f aca="false">IF(SUMIFS(Registro!$J:$J,Registro!$A:$A,T$3,Registro!$F:$F,$A5)=0,"",SUMIFS(Registro!$J:$J,Registro!$A:$A,T$3,Registro!$F:$F,$A5))</f>
        <v/>
      </c>
      <c r="U5" s="17" t="str">
        <f aca="false">IF(SUMIFS(Registro!$J:$J,Registro!$A:$A,U$3,Registro!$F:$F,$A5)=0,"",SUMIFS(Registro!$J:$J,Registro!$A:$A,U$3,Registro!$F:$F,$A5))</f>
        <v/>
      </c>
      <c r="V5" s="17" t="str">
        <f aca="false">IF(SUMIFS(Registro!$J:$J,Registro!$A:$A,V$3,Registro!$F:$F,$A5)=0,"",SUMIFS(Registro!$J:$J,Registro!$A:$A,V$3,Registro!$F:$F,$A5))</f>
        <v/>
      </c>
      <c r="W5" s="17" t="str">
        <f aca="false">IF(SUMIFS(Registro!$J:$J,Registro!$A:$A,W$3,Registro!$F:$F,$A5)=0,"",SUMIFS(Registro!$J:$J,Registro!$A:$A,W$3,Registro!$F:$F,$A5))</f>
        <v/>
      </c>
      <c r="X5" s="17" t="str">
        <f aca="false">IF(SUMIFS(Registro!$J:$J,Registro!$A:$A,X$3,Registro!$F:$F,$A5)=0,"",SUMIFS(Registro!$J:$J,Registro!$A:$A,X$3,Registro!$F:$F,$A5))</f>
        <v/>
      </c>
      <c r="Y5" s="17" t="str">
        <f aca="false">IF(SUMIFS(Registro!$J:$J,Registro!$A:$A,Y$3,Registro!$F:$F,$A5)=0,"",SUMIFS(Registro!$J:$J,Registro!$A:$A,Y$3,Registro!$F:$F,$A5))</f>
        <v/>
      </c>
      <c r="Z5" s="17" t="str">
        <f aca="false">IF(SUMIFS(Registro!$J:$J,Registro!$A:$A,Z$3,Registro!$F:$F,$A5)=0,"",SUMIFS(Registro!$J:$J,Registro!$A:$A,Z$3,Registro!$F:$F,$A5))</f>
        <v/>
      </c>
      <c r="AA5" s="17" t="str">
        <f aca="false">IF(SUMIFS(Registro!$J:$J,Registro!$A:$A,AA$3,Registro!$F:$F,$A5)=0,"",SUMIFS(Registro!$J:$J,Registro!$A:$A,AA$3,Registro!$F:$F,$A5))</f>
        <v/>
      </c>
      <c r="AB5" s="17" t="str">
        <f aca="false">IF(SUMIFS(Registro!$J:$J,Registro!$A:$A,AB$3,Registro!$F:$F,$A5)=0,"",SUMIFS(Registro!$J:$J,Registro!$A:$A,AB$3,Registro!$F:$F,$A5))</f>
        <v/>
      </c>
      <c r="AC5" s="17" t="str">
        <f aca="false">IF(SUMIFS(Registro!$J:$J,Registro!$A:$A,AC$3,Registro!$F:$F,$A5)=0,"",SUMIFS(Registro!$J:$J,Registro!$A:$A,AC$3,Registro!$F:$F,$A5))</f>
        <v/>
      </c>
      <c r="AD5" s="17" t="str">
        <f aca="false">IF(SUMIFS(Registro!$J:$J,Registro!$A:$A,AD$3,Registro!$F:$F,$A5)=0,"",SUMIFS(Registro!$J:$J,Registro!$A:$A,AD$3,Registro!$F:$F,$A5))</f>
        <v/>
      </c>
      <c r="AE5" s="17" t="str">
        <f aca="false">IF(SUMIFS(Registro!$J:$J,Registro!$A:$A,AE$3,Registro!$F:$F,$A5)=0,"",SUMIFS(Registro!$J:$J,Registro!$A:$A,AE$3,Registro!$F:$F,$A5))</f>
        <v/>
      </c>
      <c r="AF5" s="17" t="str">
        <f aca="false">IF(SUMIFS(Registro!$J:$J,Registro!$A:$A,AF$3,Registro!$F:$F,$A5)=0,"",SUMIFS(Registro!$J:$J,Registro!$A:$A,AF$3,Registro!$F:$F,$A5))</f>
        <v/>
      </c>
      <c r="AG5" s="17" t="str">
        <f aca="false">IF(SUMIFS(Registro!$J:$J,Registro!$A:$A,AG$3,Registro!$F:$F,$A5)=0,"",SUMIFS(Registro!$J:$J,Registro!$A:$A,AG$3,Registro!$F:$F,$A5))</f>
        <v/>
      </c>
      <c r="AH5" s="17" t="str">
        <f aca="false">IF(SUMIFS(Registro!$J:$J,Registro!$A:$A,AH$3,Registro!$F:$F,$A5)=0,"",SUMIFS(Registro!$J:$J,Registro!$A:$A,AH$3,Registro!$F:$F,$A5))</f>
        <v/>
      </c>
      <c r="AI5" s="17" t="str">
        <f aca="false">IF(SUMIFS(Registro!$J:$J,Registro!$A:$A,AI$3,Registro!$F:$F,$A5)=0,"",SUMIFS(Registro!$J:$J,Registro!$A:$A,AI$3,Registro!$F:$F,$A5))</f>
        <v/>
      </c>
      <c r="AJ5" s="17" t="str">
        <f aca="false">IF(SUMIFS(Registro!$J:$J,Registro!$A:$A,AJ$3,Registro!$F:$F,$A5)=0,"",SUMIFS(Registro!$J:$J,Registro!$A:$A,AJ$3,Registro!$F:$F,$A5))</f>
        <v/>
      </c>
      <c r="AK5" s="17" t="str">
        <f aca="false">IF(SUMIFS(Registro!$J:$J,Registro!$A:$A,AK$3,Registro!$F:$F,$A5)=0,"",SUMIFS(Registro!$J:$J,Registro!$A:$A,AK$3,Registro!$F:$F,$A5))</f>
        <v/>
      </c>
      <c r="AL5" s="17" t="str">
        <f aca="false">IF(SUMIFS(Registro!$J:$J,Registro!$A:$A,AL$3,Registro!$F:$F,$A5)=0,"",SUMIFS(Registro!$J:$J,Registro!$A:$A,AL$3,Registro!$F:$F,$A5))</f>
        <v/>
      </c>
      <c r="AM5" s="17" t="str">
        <f aca="false">IF(SUMIFS(Registro!$J:$J,Registro!$A:$A,AM$3,Registro!$F:$F,$A5)=0,"",SUMIFS(Registro!$J:$J,Registro!$A:$A,AM$3,Registro!$F:$F,$A5))</f>
        <v/>
      </c>
      <c r="AN5" s="17" t="str">
        <f aca="false">IF(SUMIFS(Registro!$J:$J,Registro!$A:$A,AN$3,Registro!$F:$F,$A5)=0,"",SUMIFS(Registro!$J:$J,Registro!$A:$A,AN$3,Registro!$F:$F,$A5))</f>
        <v/>
      </c>
    </row>
    <row r="6" customFormat="false" ht="15" hidden="false" customHeight="false" outlineLevel="0" collapsed="false">
      <c r="A6" s="22" t="str">
        <f aca="false">Jugadores!$B$6</f>
        <v>Jugador 2</v>
      </c>
      <c r="B6" s="17" t="str">
        <f aca="false">IF(SUMIFS(Registro!$J:$J,Registro!$A:$A,B$3,Registro!$F:$F,$A6)=0,"",SUMIFS(Registro!$J:$J,Registro!$A:$A,B$3,Registro!$F:$F,$A6))</f>
        <v/>
      </c>
      <c r="C6" s="17" t="str">
        <f aca="false">IF(SUMIFS(Registro!$J:$J,Registro!$A:$A,C$3,Registro!$F:$F,$A6)=0,"",SUMIFS(Registro!$J:$J,Registro!$A:$A,C$3,Registro!$F:$F,$A6))</f>
        <v/>
      </c>
      <c r="D6" s="17" t="str">
        <f aca="false">IF(SUMIFS(Registro!$J:$J,Registro!$A:$A,D$3,Registro!$F:$F,$A6)=0,"",SUMIFS(Registro!$J:$J,Registro!$A:$A,D$3,Registro!$F:$F,$A6))</f>
        <v/>
      </c>
      <c r="E6" s="17" t="str">
        <f aca="false">IF(SUMIFS(Registro!$J:$J,Registro!$A:$A,E$3,Registro!$F:$F,$A6)=0,"",SUMIFS(Registro!$J:$J,Registro!$A:$A,E$3,Registro!$F:$F,$A6))</f>
        <v/>
      </c>
      <c r="F6" s="17" t="str">
        <f aca="false">IF(SUMIFS(Registro!$J:$J,Registro!$A:$A,F$3,Registro!$F:$F,$A6)=0,"",SUMIFS(Registro!$J:$J,Registro!$A:$A,F$3,Registro!$F:$F,$A6))</f>
        <v/>
      </c>
      <c r="G6" s="17" t="str">
        <f aca="false">IF(SUMIFS(Registro!$J:$J,Registro!$A:$A,G$3,Registro!$F:$F,$A6)=0,"",SUMIFS(Registro!$J:$J,Registro!$A:$A,G$3,Registro!$F:$F,$A6))</f>
        <v/>
      </c>
      <c r="H6" s="17" t="str">
        <f aca="false">IF(SUMIFS(Registro!$J:$J,Registro!$A:$A,H$3,Registro!$F:$F,$A6)=0,"",SUMIFS(Registro!$J:$J,Registro!$A:$A,H$3,Registro!$F:$F,$A6))</f>
        <v/>
      </c>
      <c r="I6" s="17" t="str">
        <f aca="false">IF(SUMIFS(Registro!$J:$J,Registro!$A:$A,I$3,Registro!$F:$F,$A6)=0,"",SUMIFS(Registro!$J:$J,Registro!$A:$A,I$3,Registro!$F:$F,$A6))</f>
        <v/>
      </c>
      <c r="J6" s="17" t="str">
        <f aca="false">IF(SUMIFS(Registro!$J:$J,Registro!$A:$A,J$3,Registro!$F:$F,$A6)=0,"",SUMIFS(Registro!$J:$J,Registro!$A:$A,J$3,Registro!$F:$F,$A6))</f>
        <v/>
      </c>
      <c r="K6" s="17" t="str">
        <f aca="false">IF(SUMIFS(Registro!$J:$J,Registro!$A:$A,K$3,Registro!$F:$F,$A6)=0,"",SUMIFS(Registro!$J:$J,Registro!$A:$A,K$3,Registro!$F:$F,$A6))</f>
        <v/>
      </c>
      <c r="L6" s="17" t="str">
        <f aca="false">IF(SUMIFS(Registro!$J:$J,Registro!$A:$A,L$3,Registro!$F:$F,$A6)=0,"",SUMIFS(Registro!$J:$J,Registro!$A:$A,L$3,Registro!$F:$F,$A6))</f>
        <v/>
      </c>
      <c r="M6" s="17" t="str">
        <f aca="false">IF(SUMIFS(Registro!$J:$J,Registro!$A:$A,M$3,Registro!$F:$F,$A6)=0,"",SUMIFS(Registro!$J:$J,Registro!$A:$A,M$3,Registro!$F:$F,$A6))</f>
        <v/>
      </c>
      <c r="N6" s="17" t="str">
        <f aca="false">IF(SUMIFS(Registro!$J:$J,Registro!$A:$A,N$3,Registro!$F:$F,$A6)=0,"",SUMIFS(Registro!$J:$J,Registro!$A:$A,N$3,Registro!$F:$F,$A6))</f>
        <v/>
      </c>
      <c r="O6" s="17" t="str">
        <f aca="false">IF(SUMIFS(Registro!$J:$J,Registro!$A:$A,O$3,Registro!$F:$F,$A6)=0,"",SUMIFS(Registro!$J:$J,Registro!$A:$A,O$3,Registro!$F:$F,$A6))</f>
        <v/>
      </c>
      <c r="P6" s="17" t="str">
        <f aca="false">IF(SUMIFS(Registro!$J:$J,Registro!$A:$A,P$3,Registro!$F:$F,$A6)=0,"",SUMIFS(Registro!$J:$J,Registro!$A:$A,P$3,Registro!$F:$F,$A6))</f>
        <v/>
      </c>
      <c r="Q6" s="17" t="str">
        <f aca="false">IF(SUMIFS(Registro!$J:$J,Registro!$A:$A,Q$3,Registro!$F:$F,$A6)=0,"",SUMIFS(Registro!$J:$J,Registro!$A:$A,Q$3,Registro!$F:$F,$A6))</f>
        <v/>
      </c>
      <c r="R6" s="17" t="str">
        <f aca="false">IF(SUMIFS(Registro!$J:$J,Registro!$A:$A,R$3,Registro!$F:$F,$A6)=0,"",SUMIFS(Registro!$J:$J,Registro!$A:$A,R$3,Registro!$F:$F,$A6))</f>
        <v/>
      </c>
      <c r="S6" s="17" t="str">
        <f aca="false">IF(SUMIFS(Registro!$J:$J,Registro!$A:$A,S$3,Registro!$F:$F,$A6)=0,"",SUMIFS(Registro!$J:$J,Registro!$A:$A,S$3,Registro!$F:$F,$A6))</f>
        <v/>
      </c>
      <c r="T6" s="17" t="str">
        <f aca="false">IF(SUMIFS(Registro!$J:$J,Registro!$A:$A,T$3,Registro!$F:$F,$A6)=0,"",SUMIFS(Registro!$J:$J,Registro!$A:$A,T$3,Registro!$F:$F,$A6))</f>
        <v/>
      </c>
      <c r="U6" s="17" t="str">
        <f aca="false">IF(SUMIFS(Registro!$J:$J,Registro!$A:$A,U$3,Registro!$F:$F,$A6)=0,"",SUMIFS(Registro!$J:$J,Registro!$A:$A,U$3,Registro!$F:$F,$A6))</f>
        <v/>
      </c>
      <c r="V6" s="17" t="str">
        <f aca="false">IF(SUMIFS(Registro!$J:$J,Registro!$A:$A,V$3,Registro!$F:$F,$A6)=0,"",SUMIFS(Registro!$J:$J,Registro!$A:$A,V$3,Registro!$F:$F,$A6))</f>
        <v/>
      </c>
      <c r="W6" s="17" t="str">
        <f aca="false">IF(SUMIFS(Registro!$J:$J,Registro!$A:$A,W$3,Registro!$F:$F,$A6)=0,"",SUMIFS(Registro!$J:$J,Registro!$A:$A,W$3,Registro!$F:$F,$A6))</f>
        <v/>
      </c>
      <c r="X6" s="17" t="str">
        <f aca="false">IF(SUMIFS(Registro!$J:$J,Registro!$A:$A,X$3,Registro!$F:$F,$A6)=0,"",SUMIFS(Registro!$J:$J,Registro!$A:$A,X$3,Registro!$F:$F,$A6))</f>
        <v/>
      </c>
      <c r="Y6" s="17" t="str">
        <f aca="false">IF(SUMIFS(Registro!$J:$J,Registro!$A:$A,Y$3,Registro!$F:$F,$A6)=0,"",SUMIFS(Registro!$J:$J,Registro!$A:$A,Y$3,Registro!$F:$F,$A6))</f>
        <v/>
      </c>
      <c r="Z6" s="17" t="str">
        <f aca="false">IF(SUMIFS(Registro!$J:$J,Registro!$A:$A,Z$3,Registro!$F:$F,$A6)=0,"",SUMIFS(Registro!$J:$J,Registro!$A:$A,Z$3,Registro!$F:$F,$A6))</f>
        <v/>
      </c>
      <c r="AA6" s="17" t="str">
        <f aca="false">IF(SUMIFS(Registro!$J:$J,Registro!$A:$A,AA$3,Registro!$F:$F,$A6)=0,"",SUMIFS(Registro!$J:$J,Registro!$A:$A,AA$3,Registro!$F:$F,$A6))</f>
        <v/>
      </c>
      <c r="AB6" s="17" t="str">
        <f aca="false">IF(SUMIFS(Registro!$J:$J,Registro!$A:$A,AB$3,Registro!$F:$F,$A6)=0,"",SUMIFS(Registro!$J:$J,Registro!$A:$A,AB$3,Registro!$F:$F,$A6))</f>
        <v/>
      </c>
      <c r="AC6" s="17" t="str">
        <f aca="false">IF(SUMIFS(Registro!$J:$J,Registro!$A:$A,AC$3,Registro!$F:$F,$A6)=0,"",SUMIFS(Registro!$J:$J,Registro!$A:$A,AC$3,Registro!$F:$F,$A6))</f>
        <v/>
      </c>
      <c r="AD6" s="17" t="str">
        <f aca="false">IF(SUMIFS(Registro!$J:$J,Registro!$A:$A,AD$3,Registro!$F:$F,$A6)=0,"",SUMIFS(Registro!$J:$J,Registro!$A:$A,AD$3,Registro!$F:$F,$A6))</f>
        <v/>
      </c>
      <c r="AE6" s="17" t="str">
        <f aca="false">IF(SUMIFS(Registro!$J:$J,Registro!$A:$A,AE$3,Registro!$F:$F,$A6)=0,"",SUMIFS(Registro!$J:$J,Registro!$A:$A,AE$3,Registro!$F:$F,$A6))</f>
        <v/>
      </c>
      <c r="AF6" s="17" t="str">
        <f aca="false">IF(SUMIFS(Registro!$J:$J,Registro!$A:$A,AF$3,Registro!$F:$F,$A6)=0,"",SUMIFS(Registro!$J:$J,Registro!$A:$A,AF$3,Registro!$F:$F,$A6))</f>
        <v/>
      </c>
      <c r="AG6" s="17" t="str">
        <f aca="false">IF(SUMIFS(Registro!$J:$J,Registro!$A:$A,AG$3,Registro!$F:$F,$A6)=0,"",SUMIFS(Registro!$J:$J,Registro!$A:$A,AG$3,Registro!$F:$F,$A6))</f>
        <v/>
      </c>
      <c r="AH6" s="17" t="str">
        <f aca="false">IF(SUMIFS(Registro!$J:$J,Registro!$A:$A,AH$3,Registro!$F:$F,$A6)=0,"",SUMIFS(Registro!$J:$J,Registro!$A:$A,AH$3,Registro!$F:$F,$A6))</f>
        <v/>
      </c>
      <c r="AI6" s="17" t="str">
        <f aca="false">IF(SUMIFS(Registro!$J:$J,Registro!$A:$A,AI$3,Registro!$F:$F,$A6)=0,"",SUMIFS(Registro!$J:$J,Registro!$A:$A,AI$3,Registro!$F:$F,$A6))</f>
        <v/>
      </c>
      <c r="AJ6" s="17" t="str">
        <f aca="false">IF(SUMIFS(Registro!$J:$J,Registro!$A:$A,AJ$3,Registro!$F:$F,$A6)=0,"",SUMIFS(Registro!$J:$J,Registro!$A:$A,AJ$3,Registro!$F:$F,$A6))</f>
        <v/>
      </c>
      <c r="AK6" s="17" t="str">
        <f aca="false">IF(SUMIFS(Registro!$J:$J,Registro!$A:$A,AK$3,Registro!$F:$F,$A6)=0,"",SUMIFS(Registro!$J:$J,Registro!$A:$A,AK$3,Registro!$F:$F,$A6))</f>
        <v/>
      </c>
      <c r="AL6" s="17" t="str">
        <f aca="false">IF(SUMIFS(Registro!$J:$J,Registro!$A:$A,AL$3,Registro!$F:$F,$A6)=0,"",SUMIFS(Registro!$J:$J,Registro!$A:$A,AL$3,Registro!$F:$F,$A6))</f>
        <v/>
      </c>
      <c r="AM6" s="17" t="str">
        <f aca="false">IF(SUMIFS(Registro!$J:$J,Registro!$A:$A,AM$3,Registro!$F:$F,$A6)=0,"",SUMIFS(Registro!$J:$J,Registro!$A:$A,AM$3,Registro!$F:$F,$A6))</f>
        <v/>
      </c>
      <c r="AN6" s="17" t="str">
        <f aca="false">IF(SUMIFS(Registro!$J:$J,Registro!$A:$A,AN$3,Registro!$F:$F,$A6)=0,"",SUMIFS(Registro!$J:$J,Registro!$A:$A,AN$3,Registro!$F:$F,$A6))</f>
        <v/>
      </c>
    </row>
    <row r="7" customFormat="false" ht="15" hidden="false" customHeight="false" outlineLevel="0" collapsed="false">
      <c r="A7" s="22" t="str">
        <f aca="false">Jugadores!$B$7</f>
        <v>Jugador 3</v>
      </c>
      <c r="B7" s="17" t="str">
        <f aca="false">IF(SUMIFS(Registro!$J:$J,Registro!$A:$A,B$3,Registro!$F:$F,$A7)=0,"",SUMIFS(Registro!$J:$J,Registro!$A:$A,B$3,Registro!$F:$F,$A7))</f>
        <v/>
      </c>
      <c r="C7" s="17" t="str">
        <f aca="false">IF(SUMIFS(Registro!$J:$J,Registro!$A:$A,C$3,Registro!$F:$F,$A7)=0,"",SUMIFS(Registro!$J:$J,Registro!$A:$A,C$3,Registro!$F:$F,$A7))</f>
        <v/>
      </c>
      <c r="D7" s="17" t="str">
        <f aca="false">IF(SUMIFS(Registro!$J:$J,Registro!$A:$A,D$3,Registro!$F:$F,$A7)=0,"",SUMIFS(Registro!$J:$J,Registro!$A:$A,D$3,Registro!$F:$F,$A7))</f>
        <v/>
      </c>
      <c r="E7" s="17" t="str">
        <f aca="false">IF(SUMIFS(Registro!$J:$J,Registro!$A:$A,E$3,Registro!$F:$F,$A7)=0,"",SUMIFS(Registro!$J:$J,Registro!$A:$A,E$3,Registro!$F:$F,$A7))</f>
        <v/>
      </c>
      <c r="F7" s="17" t="str">
        <f aca="false">IF(SUMIFS(Registro!$J:$J,Registro!$A:$A,F$3,Registro!$F:$F,$A7)=0,"",SUMIFS(Registro!$J:$J,Registro!$A:$A,F$3,Registro!$F:$F,$A7))</f>
        <v/>
      </c>
      <c r="G7" s="17" t="str">
        <f aca="false">IF(SUMIFS(Registro!$J:$J,Registro!$A:$A,G$3,Registro!$F:$F,$A7)=0,"",SUMIFS(Registro!$J:$J,Registro!$A:$A,G$3,Registro!$F:$F,$A7))</f>
        <v/>
      </c>
      <c r="H7" s="17" t="str">
        <f aca="false">IF(SUMIFS(Registro!$J:$J,Registro!$A:$A,H$3,Registro!$F:$F,$A7)=0,"",SUMIFS(Registro!$J:$J,Registro!$A:$A,H$3,Registro!$F:$F,$A7))</f>
        <v/>
      </c>
      <c r="I7" s="17" t="str">
        <f aca="false">IF(SUMIFS(Registro!$J:$J,Registro!$A:$A,I$3,Registro!$F:$F,$A7)=0,"",SUMIFS(Registro!$J:$J,Registro!$A:$A,I$3,Registro!$F:$F,$A7))</f>
        <v/>
      </c>
      <c r="J7" s="17" t="str">
        <f aca="false">IF(SUMIFS(Registro!$J:$J,Registro!$A:$A,J$3,Registro!$F:$F,$A7)=0,"",SUMIFS(Registro!$J:$J,Registro!$A:$A,J$3,Registro!$F:$F,$A7))</f>
        <v/>
      </c>
      <c r="K7" s="17" t="str">
        <f aca="false">IF(SUMIFS(Registro!$J:$J,Registro!$A:$A,K$3,Registro!$F:$F,$A7)=0,"",SUMIFS(Registro!$J:$J,Registro!$A:$A,K$3,Registro!$F:$F,$A7))</f>
        <v/>
      </c>
      <c r="L7" s="17" t="str">
        <f aca="false">IF(SUMIFS(Registro!$J:$J,Registro!$A:$A,L$3,Registro!$F:$F,$A7)=0,"",SUMIFS(Registro!$J:$J,Registro!$A:$A,L$3,Registro!$F:$F,$A7))</f>
        <v/>
      </c>
      <c r="M7" s="17" t="str">
        <f aca="false">IF(SUMIFS(Registro!$J:$J,Registro!$A:$A,M$3,Registro!$F:$F,$A7)=0,"",SUMIFS(Registro!$J:$J,Registro!$A:$A,M$3,Registro!$F:$F,$A7))</f>
        <v/>
      </c>
      <c r="N7" s="17" t="str">
        <f aca="false">IF(SUMIFS(Registro!$J:$J,Registro!$A:$A,N$3,Registro!$F:$F,$A7)=0,"",SUMIFS(Registro!$J:$J,Registro!$A:$A,N$3,Registro!$F:$F,$A7))</f>
        <v/>
      </c>
      <c r="O7" s="17" t="str">
        <f aca="false">IF(SUMIFS(Registro!$J:$J,Registro!$A:$A,O$3,Registro!$F:$F,$A7)=0,"",SUMIFS(Registro!$J:$J,Registro!$A:$A,O$3,Registro!$F:$F,$A7))</f>
        <v/>
      </c>
      <c r="P7" s="17" t="str">
        <f aca="false">IF(SUMIFS(Registro!$J:$J,Registro!$A:$A,P$3,Registro!$F:$F,$A7)=0,"",SUMIFS(Registro!$J:$J,Registro!$A:$A,P$3,Registro!$F:$F,$A7))</f>
        <v/>
      </c>
      <c r="Q7" s="17" t="str">
        <f aca="false">IF(SUMIFS(Registro!$J:$J,Registro!$A:$A,Q$3,Registro!$F:$F,$A7)=0,"",SUMIFS(Registro!$J:$J,Registro!$A:$A,Q$3,Registro!$F:$F,$A7))</f>
        <v/>
      </c>
      <c r="R7" s="17" t="str">
        <f aca="false">IF(SUMIFS(Registro!$J:$J,Registro!$A:$A,R$3,Registro!$F:$F,$A7)=0,"",SUMIFS(Registro!$J:$J,Registro!$A:$A,R$3,Registro!$F:$F,$A7))</f>
        <v/>
      </c>
      <c r="S7" s="17" t="str">
        <f aca="false">IF(SUMIFS(Registro!$J:$J,Registro!$A:$A,S$3,Registro!$F:$F,$A7)=0,"",SUMIFS(Registro!$J:$J,Registro!$A:$A,S$3,Registro!$F:$F,$A7))</f>
        <v/>
      </c>
      <c r="T7" s="17" t="str">
        <f aca="false">IF(SUMIFS(Registro!$J:$J,Registro!$A:$A,T$3,Registro!$F:$F,$A7)=0,"",SUMIFS(Registro!$J:$J,Registro!$A:$A,T$3,Registro!$F:$F,$A7))</f>
        <v/>
      </c>
      <c r="U7" s="17" t="str">
        <f aca="false">IF(SUMIFS(Registro!$J:$J,Registro!$A:$A,U$3,Registro!$F:$F,$A7)=0,"",SUMIFS(Registro!$J:$J,Registro!$A:$A,U$3,Registro!$F:$F,$A7))</f>
        <v/>
      </c>
      <c r="V7" s="17" t="str">
        <f aca="false">IF(SUMIFS(Registro!$J:$J,Registro!$A:$A,V$3,Registro!$F:$F,$A7)=0,"",SUMIFS(Registro!$J:$J,Registro!$A:$A,V$3,Registro!$F:$F,$A7))</f>
        <v/>
      </c>
      <c r="W7" s="17" t="str">
        <f aca="false">IF(SUMIFS(Registro!$J:$J,Registro!$A:$A,W$3,Registro!$F:$F,$A7)=0,"",SUMIFS(Registro!$J:$J,Registro!$A:$A,W$3,Registro!$F:$F,$A7))</f>
        <v/>
      </c>
      <c r="X7" s="17" t="str">
        <f aca="false">IF(SUMIFS(Registro!$J:$J,Registro!$A:$A,X$3,Registro!$F:$F,$A7)=0,"",SUMIFS(Registro!$J:$J,Registro!$A:$A,X$3,Registro!$F:$F,$A7))</f>
        <v/>
      </c>
      <c r="Y7" s="17" t="str">
        <f aca="false">IF(SUMIFS(Registro!$J:$J,Registro!$A:$A,Y$3,Registro!$F:$F,$A7)=0,"",SUMIFS(Registro!$J:$J,Registro!$A:$A,Y$3,Registro!$F:$F,$A7))</f>
        <v/>
      </c>
      <c r="Z7" s="17" t="str">
        <f aca="false">IF(SUMIFS(Registro!$J:$J,Registro!$A:$A,Z$3,Registro!$F:$F,$A7)=0,"",SUMIFS(Registro!$J:$J,Registro!$A:$A,Z$3,Registro!$F:$F,$A7))</f>
        <v/>
      </c>
      <c r="AA7" s="17" t="str">
        <f aca="false">IF(SUMIFS(Registro!$J:$J,Registro!$A:$A,AA$3,Registro!$F:$F,$A7)=0,"",SUMIFS(Registro!$J:$J,Registro!$A:$A,AA$3,Registro!$F:$F,$A7))</f>
        <v/>
      </c>
      <c r="AB7" s="17" t="str">
        <f aca="false">IF(SUMIFS(Registro!$J:$J,Registro!$A:$A,AB$3,Registro!$F:$F,$A7)=0,"",SUMIFS(Registro!$J:$J,Registro!$A:$A,AB$3,Registro!$F:$F,$A7))</f>
        <v/>
      </c>
      <c r="AC7" s="17" t="str">
        <f aca="false">IF(SUMIFS(Registro!$J:$J,Registro!$A:$A,AC$3,Registro!$F:$F,$A7)=0,"",SUMIFS(Registro!$J:$J,Registro!$A:$A,AC$3,Registro!$F:$F,$A7))</f>
        <v/>
      </c>
      <c r="AD7" s="17" t="str">
        <f aca="false">IF(SUMIFS(Registro!$J:$J,Registro!$A:$A,AD$3,Registro!$F:$F,$A7)=0,"",SUMIFS(Registro!$J:$J,Registro!$A:$A,AD$3,Registro!$F:$F,$A7))</f>
        <v/>
      </c>
      <c r="AE7" s="17" t="str">
        <f aca="false">IF(SUMIFS(Registro!$J:$J,Registro!$A:$A,AE$3,Registro!$F:$F,$A7)=0,"",SUMIFS(Registro!$J:$J,Registro!$A:$A,AE$3,Registro!$F:$F,$A7))</f>
        <v/>
      </c>
      <c r="AF7" s="17" t="str">
        <f aca="false">IF(SUMIFS(Registro!$J:$J,Registro!$A:$A,AF$3,Registro!$F:$F,$A7)=0,"",SUMIFS(Registro!$J:$J,Registro!$A:$A,AF$3,Registro!$F:$F,$A7))</f>
        <v/>
      </c>
      <c r="AG7" s="17" t="str">
        <f aca="false">IF(SUMIFS(Registro!$J:$J,Registro!$A:$A,AG$3,Registro!$F:$F,$A7)=0,"",SUMIFS(Registro!$J:$J,Registro!$A:$A,AG$3,Registro!$F:$F,$A7))</f>
        <v/>
      </c>
      <c r="AH7" s="17" t="str">
        <f aca="false">IF(SUMIFS(Registro!$J:$J,Registro!$A:$A,AH$3,Registro!$F:$F,$A7)=0,"",SUMIFS(Registro!$J:$J,Registro!$A:$A,AH$3,Registro!$F:$F,$A7))</f>
        <v/>
      </c>
      <c r="AI7" s="17" t="str">
        <f aca="false">IF(SUMIFS(Registro!$J:$J,Registro!$A:$A,AI$3,Registro!$F:$F,$A7)=0,"",SUMIFS(Registro!$J:$J,Registro!$A:$A,AI$3,Registro!$F:$F,$A7))</f>
        <v/>
      </c>
      <c r="AJ7" s="17" t="str">
        <f aca="false">IF(SUMIFS(Registro!$J:$J,Registro!$A:$A,AJ$3,Registro!$F:$F,$A7)=0,"",SUMIFS(Registro!$J:$J,Registro!$A:$A,AJ$3,Registro!$F:$F,$A7))</f>
        <v/>
      </c>
      <c r="AK7" s="17" t="str">
        <f aca="false">IF(SUMIFS(Registro!$J:$J,Registro!$A:$A,AK$3,Registro!$F:$F,$A7)=0,"",SUMIFS(Registro!$J:$J,Registro!$A:$A,AK$3,Registro!$F:$F,$A7))</f>
        <v/>
      </c>
      <c r="AL7" s="17" t="str">
        <f aca="false">IF(SUMIFS(Registro!$J:$J,Registro!$A:$A,AL$3,Registro!$F:$F,$A7)=0,"",SUMIFS(Registro!$J:$J,Registro!$A:$A,AL$3,Registro!$F:$F,$A7))</f>
        <v/>
      </c>
      <c r="AM7" s="17" t="str">
        <f aca="false">IF(SUMIFS(Registro!$J:$J,Registro!$A:$A,AM$3,Registro!$F:$F,$A7)=0,"",SUMIFS(Registro!$J:$J,Registro!$A:$A,AM$3,Registro!$F:$F,$A7))</f>
        <v/>
      </c>
      <c r="AN7" s="17" t="str">
        <f aca="false">IF(SUMIFS(Registro!$J:$J,Registro!$A:$A,AN$3,Registro!$F:$F,$A7)=0,"",SUMIFS(Registro!$J:$J,Registro!$A:$A,AN$3,Registro!$F:$F,$A7))</f>
        <v/>
      </c>
    </row>
    <row r="8" customFormat="false" ht="15" hidden="false" customHeight="false" outlineLevel="0" collapsed="false">
      <c r="A8" s="22" t="str">
        <f aca="false">Jugadores!$B$8</f>
        <v>Jugador 4</v>
      </c>
      <c r="B8" s="17" t="str">
        <f aca="false">IF(SUMIFS(Registro!$J:$J,Registro!$A:$A,B$3,Registro!$F:$F,$A8)=0,"",SUMIFS(Registro!$J:$J,Registro!$A:$A,B$3,Registro!$F:$F,$A8))</f>
        <v/>
      </c>
      <c r="C8" s="17" t="str">
        <f aca="false">IF(SUMIFS(Registro!$J:$J,Registro!$A:$A,C$3,Registro!$F:$F,$A8)=0,"",SUMIFS(Registro!$J:$J,Registro!$A:$A,C$3,Registro!$F:$F,$A8))</f>
        <v/>
      </c>
      <c r="D8" s="17" t="str">
        <f aca="false">IF(SUMIFS(Registro!$J:$J,Registro!$A:$A,D$3,Registro!$F:$F,$A8)=0,"",SUMIFS(Registro!$J:$J,Registro!$A:$A,D$3,Registro!$F:$F,$A8))</f>
        <v/>
      </c>
      <c r="E8" s="17" t="str">
        <f aca="false">IF(SUMIFS(Registro!$J:$J,Registro!$A:$A,E$3,Registro!$F:$F,$A8)=0,"",SUMIFS(Registro!$J:$J,Registro!$A:$A,E$3,Registro!$F:$F,$A8))</f>
        <v/>
      </c>
      <c r="F8" s="17" t="str">
        <f aca="false">IF(SUMIFS(Registro!$J:$J,Registro!$A:$A,F$3,Registro!$F:$F,$A8)=0,"",SUMIFS(Registro!$J:$J,Registro!$A:$A,F$3,Registro!$F:$F,$A8))</f>
        <v/>
      </c>
      <c r="G8" s="17" t="str">
        <f aca="false">IF(SUMIFS(Registro!$J:$J,Registro!$A:$A,G$3,Registro!$F:$F,$A8)=0,"",SUMIFS(Registro!$J:$J,Registro!$A:$A,G$3,Registro!$F:$F,$A8))</f>
        <v/>
      </c>
      <c r="H8" s="17" t="str">
        <f aca="false">IF(SUMIFS(Registro!$J:$J,Registro!$A:$A,H$3,Registro!$F:$F,$A8)=0,"",SUMIFS(Registro!$J:$J,Registro!$A:$A,H$3,Registro!$F:$F,$A8))</f>
        <v/>
      </c>
      <c r="I8" s="17" t="str">
        <f aca="false">IF(SUMIFS(Registro!$J:$J,Registro!$A:$A,I$3,Registro!$F:$F,$A8)=0,"",SUMIFS(Registro!$J:$J,Registro!$A:$A,I$3,Registro!$F:$F,$A8))</f>
        <v/>
      </c>
      <c r="J8" s="17" t="str">
        <f aca="false">IF(SUMIFS(Registro!$J:$J,Registro!$A:$A,J$3,Registro!$F:$F,$A8)=0,"",SUMIFS(Registro!$J:$J,Registro!$A:$A,J$3,Registro!$F:$F,$A8))</f>
        <v/>
      </c>
      <c r="K8" s="17" t="str">
        <f aca="false">IF(SUMIFS(Registro!$J:$J,Registro!$A:$A,K$3,Registro!$F:$F,$A8)=0,"",SUMIFS(Registro!$J:$J,Registro!$A:$A,K$3,Registro!$F:$F,$A8))</f>
        <v/>
      </c>
      <c r="L8" s="17" t="str">
        <f aca="false">IF(SUMIFS(Registro!$J:$J,Registro!$A:$A,L$3,Registro!$F:$F,$A8)=0,"",SUMIFS(Registro!$J:$J,Registro!$A:$A,L$3,Registro!$F:$F,$A8))</f>
        <v/>
      </c>
      <c r="M8" s="17" t="str">
        <f aca="false">IF(SUMIFS(Registro!$J:$J,Registro!$A:$A,M$3,Registro!$F:$F,$A8)=0,"",SUMIFS(Registro!$J:$J,Registro!$A:$A,M$3,Registro!$F:$F,$A8))</f>
        <v/>
      </c>
      <c r="N8" s="17" t="str">
        <f aca="false">IF(SUMIFS(Registro!$J:$J,Registro!$A:$A,N$3,Registro!$F:$F,$A8)=0,"",SUMIFS(Registro!$J:$J,Registro!$A:$A,N$3,Registro!$F:$F,$A8))</f>
        <v/>
      </c>
      <c r="O8" s="17" t="str">
        <f aca="false">IF(SUMIFS(Registro!$J:$J,Registro!$A:$A,O$3,Registro!$F:$F,$A8)=0,"",SUMIFS(Registro!$J:$J,Registro!$A:$A,O$3,Registro!$F:$F,$A8))</f>
        <v/>
      </c>
      <c r="P8" s="17" t="str">
        <f aca="false">IF(SUMIFS(Registro!$J:$J,Registro!$A:$A,P$3,Registro!$F:$F,$A8)=0,"",SUMIFS(Registro!$J:$J,Registro!$A:$A,P$3,Registro!$F:$F,$A8))</f>
        <v/>
      </c>
      <c r="Q8" s="17" t="str">
        <f aca="false">IF(SUMIFS(Registro!$J:$J,Registro!$A:$A,Q$3,Registro!$F:$F,$A8)=0,"",SUMIFS(Registro!$J:$J,Registro!$A:$A,Q$3,Registro!$F:$F,$A8))</f>
        <v/>
      </c>
      <c r="R8" s="17" t="str">
        <f aca="false">IF(SUMIFS(Registro!$J:$J,Registro!$A:$A,R$3,Registro!$F:$F,$A8)=0,"",SUMIFS(Registro!$J:$J,Registro!$A:$A,R$3,Registro!$F:$F,$A8))</f>
        <v/>
      </c>
      <c r="S8" s="17" t="str">
        <f aca="false">IF(SUMIFS(Registro!$J:$J,Registro!$A:$A,S$3,Registro!$F:$F,$A8)=0,"",SUMIFS(Registro!$J:$J,Registro!$A:$A,S$3,Registro!$F:$F,$A8))</f>
        <v/>
      </c>
      <c r="T8" s="17" t="str">
        <f aca="false">IF(SUMIFS(Registro!$J:$J,Registro!$A:$A,T$3,Registro!$F:$F,$A8)=0,"",SUMIFS(Registro!$J:$J,Registro!$A:$A,T$3,Registro!$F:$F,$A8))</f>
        <v/>
      </c>
      <c r="U8" s="17" t="str">
        <f aca="false">IF(SUMIFS(Registro!$J:$J,Registro!$A:$A,U$3,Registro!$F:$F,$A8)=0,"",SUMIFS(Registro!$J:$J,Registro!$A:$A,U$3,Registro!$F:$F,$A8))</f>
        <v/>
      </c>
      <c r="V8" s="17" t="str">
        <f aca="false">IF(SUMIFS(Registro!$J:$J,Registro!$A:$A,V$3,Registro!$F:$F,$A8)=0,"",SUMIFS(Registro!$J:$J,Registro!$A:$A,V$3,Registro!$F:$F,$A8))</f>
        <v/>
      </c>
      <c r="W8" s="17" t="str">
        <f aca="false">IF(SUMIFS(Registro!$J:$J,Registro!$A:$A,W$3,Registro!$F:$F,$A8)=0,"",SUMIFS(Registro!$J:$J,Registro!$A:$A,W$3,Registro!$F:$F,$A8))</f>
        <v/>
      </c>
      <c r="X8" s="17" t="str">
        <f aca="false">IF(SUMIFS(Registro!$J:$J,Registro!$A:$A,X$3,Registro!$F:$F,$A8)=0,"",SUMIFS(Registro!$J:$J,Registro!$A:$A,X$3,Registro!$F:$F,$A8))</f>
        <v/>
      </c>
      <c r="Y8" s="17" t="str">
        <f aca="false">IF(SUMIFS(Registro!$J:$J,Registro!$A:$A,Y$3,Registro!$F:$F,$A8)=0,"",SUMIFS(Registro!$J:$J,Registro!$A:$A,Y$3,Registro!$F:$F,$A8))</f>
        <v/>
      </c>
      <c r="Z8" s="17" t="str">
        <f aca="false">IF(SUMIFS(Registro!$J:$J,Registro!$A:$A,Z$3,Registro!$F:$F,$A8)=0,"",SUMIFS(Registro!$J:$J,Registro!$A:$A,Z$3,Registro!$F:$F,$A8))</f>
        <v/>
      </c>
      <c r="AA8" s="17" t="str">
        <f aca="false">IF(SUMIFS(Registro!$J:$J,Registro!$A:$A,AA$3,Registro!$F:$F,$A8)=0,"",SUMIFS(Registro!$J:$J,Registro!$A:$A,AA$3,Registro!$F:$F,$A8))</f>
        <v/>
      </c>
      <c r="AB8" s="17" t="str">
        <f aca="false">IF(SUMIFS(Registro!$J:$J,Registro!$A:$A,AB$3,Registro!$F:$F,$A8)=0,"",SUMIFS(Registro!$J:$J,Registro!$A:$A,AB$3,Registro!$F:$F,$A8))</f>
        <v/>
      </c>
      <c r="AC8" s="17" t="str">
        <f aca="false">IF(SUMIFS(Registro!$J:$J,Registro!$A:$A,AC$3,Registro!$F:$F,$A8)=0,"",SUMIFS(Registro!$J:$J,Registro!$A:$A,AC$3,Registro!$F:$F,$A8))</f>
        <v/>
      </c>
      <c r="AD8" s="17" t="str">
        <f aca="false">IF(SUMIFS(Registro!$J:$J,Registro!$A:$A,AD$3,Registro!$F:$F,$A8)=0,"",SUMIFS(Registro!$J:$J,Registro!$A:$A,AD$3,Registro!$F:$F,$A8))</f>
        <v/>
      </c>
      <c r="AE8" s="17" t="str">
        <f aca="false">IF(SUMIFS(Registro!$J:$J,Registro!$A:$A,AE$3,Registro!$F:$F,$A8)=0,"",SUMIFS(Registro!$J:$J,Registro!$A:$A,AE$3,Registro!$F:$F,$A8))</f>
        <v/>
      </c>
      <c r="AF8" s="17" t="str">
        <f aca="false">IF(SUMIFS(Registro!$J:$J,Registro!$A:$A,AF$3,Registro!$F:$F,$A8)=0,"",SUMIFS(Registro!$J:$J,Registro!$A:$A,AF$3,Registro!$F:$F,$A8))</f>
        <v/>
      </c>
      <c r="AG8" s="17" t="str">
        <f aca="false">IF(SUMIFS(Registro!$J:$J,Registro!$A:$A,AG$3,Registro!$F:$F,$A8)=0,"",SUMIFS(Registro!$J:$J,Registro!$A:$A,AG$3,Registro!$F:$F,$A8))</f>
        <v/>
      </c>
      <c r="AH8" s="17" t="str">
        <f aca="false">IF(SUMIFS(Registro!$J:$J,Registro!$A:$A,AH$3,Registro!$F:$F,$A8)=0,"",SUMIFS(Registro!$J:$J,Registro!$A:$A,AH$3,Registro!$F:$F,$A8))</f>
        <v/>
      </c>
      <c r="AI8" s="17" t="str">
        <f aca="false">IF(SUMIFS(Registro!$J:$J,Registro!$A:$A,AI$3,Registro!$F:$F,$A8)=0,"",SUMIFS(Registro!$J:$J,Registro!$A:$A,AI$3,Registro!$F:$F,$A8))</f>
        <v/>
      </c>
      <c r="AJ8" s="17" t="str">
        <f aca="false">IF(SUMIFS(Registro!$J:$J,Registro!$A:$A,AJ$3,Registro!$F:$F,$A8)=0,"",SUMIFS(Registro!$J:$J,Registro!$A:$A,AJ$3,Registro!$F:$F,$A8))</f>
        <v/>
      </c>
      <c r="AK8" s="17" t="str">
        <f aca="false">IF(SUMIFS(Registro!$J:$J,Registro!$A:$A,AK$3,Registro!$F:$F,$A8)=0,"",SUMIFS(Registro!$J:$J,Registro!$A:$A,AK$3,Registro!$F:$F,$A8))</f>
        <v/>
      </c>
      <c r="AL8" s="17" t="str">
        <f aca="false">IF(SUMIFS(Registro!$J:$J,Registro!$A:$A,AL$3,Registro!$F:$F,$A8)=0,"",SUMIFS(Registro!$J:$J,Registro!$A:$A,AL$3,Registro!$F:$F,$A8))</f>
        <v/>
      </c>
      <c r="AM8" s="17" t="str">
        <f aca="false">IF(SUMIFS(Registro!$J:$J,Registro!$A:$A,AM$3,Registro!$F:$F,$A8)=0,"",SUMIFS(Registro!$J:$J,Registro!$A:$A,AM$3,Registro!$F:$F,$A8))</f>
        <v/>
      </c>
      <c r="AN8" s="17" t="str">
        <f aca="false">IF(SUMIFS(Registro!$J:$J,Registro!$A:$A,AN$3,Registro!$F:$F,$A8)=0,"",SUMIFS(Registro!$J:$J,Registro!$A:$A,AN$3,Registro!$F:$F,$A8))</f>
        <v/>
      </c>
    </row>
    <row r="9" customFormat="false" ht="15" hidden="false" customHeight="false" outlineLevel="0" collapsed="false">
      <c r="A9" s="22" t="str">
        <f aca="false">Jugadores!$B$9</f>
        <v>Jugador 5</v>
      </c>
      <c r="B9" s="17" t="str">
        <f aca="false">IF(SUMIFS(Registro!$J:$J,Registro!$A:$A,B$3,Registro!$F:$F,$A9)=0,"",SUMIFS(Registro!$J:$J,Registro!$A:$A,B$3,Registro!$F:$F,$A9))</f>
        <v/>
      </c>
      <c r="C9" s="17" t="str">
        <f aca="false">IF(SUMIFS(Registro!$J:$J,Registro!$A:$A,C$3,Registro!$F:$F,$A9)=0,"",SUMIFS(Registro!$J:$J,Registro!$A:$A,C$3,Registro!$F:$F,$A9))</f>
        <v/>
      </c>
      <c r="D9" s="17" t="str">
        <f aca="false">IF(SUMIFS(Registro!$J:$J,Registro!$A:$A,D$3,Registro!$F:$F,$A9)=0,"",SUMIFS(Registro!$J:$J,Registro!$A:$A,D$3,Registro!$F:$F,$A9))</f>
        <v/>
      </c>
      <c r="E9" s="17" t="str">
        <f aca="false">IF(SUMIFS(Registro!$J:$J,Registro!$A:$A,E$3,Registro!$F:$F,$A9)=0,"",SUMIFS(Registro!$J:$J,Registro!$A:$A,E$3,Registro!$F:$F,$A9))</f>
        <v/>
      </c>
      <c r="F9" s="17" t="str">
        <f aca="false">IF(SUMIFS(Registro!$J:$J,Registro!$A:$A,F$3,Registro!$F:$F,$A9)=0,"",SUMIFS(Registro!$J:$J,Registro!$A:$A,F$3,Registro!$F:$F,$A9))</f>
        <v/>
      </c>
      <c r="G9" s="17" t="str">
        <f aca="false">IF(SUMIFS(Registro!$J:$J,Registro!$A:$A,G$3,Registro!$F:$F,$A9)=0,"",SUMIFS(Registro!$J:$J,Registro!$A:$A,G$3,Registro!$F:$F,$A9))</f>
        <v/>
      </c>
      <c r="H9" s="17" t="str">
        <f aca="false">IF(SUMIFS(Registro!$J:$J,Registro!$A:$A,H$3,Registro!$F:$F,$A9)=0,"",SUMIFS(Registro!$J:$J,Registro!$A:$A,H$3,Registro!$F:$F,$A9))</f>
        <v/>
      </c>
      <c r="I9" s="17" t="str">
        <f aca="false">IF(SUMIFS(Registro!$J:$J,Registro!$A:$A,I$3,Registro!$F:$F,$A9)=0,"",SUMIFS(Registro!$J:$J,Registro!$A:$A,I$3,Registro!$F:$F,$A9))</f>
        <v/>
      </c>
      <c r="J9" s="17" t="str">
        <f aca="false">IF(SUMIFS(Registro!$J:$J,Registro!$A:$A,J$3,Registro!$F:$F,$A9)=0,"",SUMIFS(Registro!$J:$J,Registro!$A:$A,J$3,Registro!$F:$F,$A9))</f>
        <v/>
      </c>
      <c r="K9" s="17" t="str">
        <f aca="false">IF(SUMIFS(Registro!$J:$J,Registro!$A:$A,K$3,Registro!$F:$F,$A9)=0,"",SUMIFS(Registro!$J:$J,Registro!$A:$A,K$3,Registro!$F:$F,$A9))</f>
        <v/>
      </c>
      <c r="L9" s="17" t="str">
        <f aca="false">IF(SUMIFS(Registro!$J:$J,Registro!$A:$A,L$3,Registro!$F:$F,$A9)=0,"",SUMIFS(Registro!$J:$J,Registro!$A:$A,L$3,Registro!$F:$F,$A9))</f>
        <v/>
      </c>
      <c r="M9" s="17" t="str">
        <f aca="false">IF(SUMIFS(Registro!$J:$J,Registro!$A:$A,M$3,Registro!$F:$F,$A9)=0,"",SUMIFS(Registro!$J:$J,Registro!$A:$A,M$3,Registro!$F:$F,$A9))</f>
        <v/>
      </c>
      <c r="N9" s="17" t="str">
        <f aca="false">IF(SUMIFS(Registro!$J:$J,Registro!$A:$A,N$3,Registro!$F:$F,$A9)=0,"",SUMIFS(Registro!$J:$J,Registro!$A:$A,N$3,Registro!$F:$F,$A9))</f>
        <v/>
      </c>
      <c r="O9" s="17" t="str">
        <f aca="false">IF(SUMIFS(Registro!$J:$J,Registro!$A:$A,O$3,Registro!$F:$F,$A9)=0,"",SUMIFS(Registro!$J:$J,Registro!$A:$A,O$3,Registro!$F:$F,$A9))</f>
        <v/>
      </c>
      <c r="P9" s="17" t="str">
        <f aca="false">IF(SUMIFS(Registro!$J:$J,Registro!$A:$A,P$3,Registro!$F:$F,$A9)=0,"",SUMIFS(Registro!$J:$J,Registro!$A:$A,P$3,Registro!$F:$F,$A9))</f>
        <v/>
      </c>
      <c r="Q9" s="17" t="str">
        <f aca="false">IF(SUMIFS(Registro!$J:$J,Registro!$A:$A,Q$3,Registro!$F:$F,$A9)=0,"",SUMIFS(Registro!$J:$J,Registro!$A:$A,Q$3,Registro!$F:$F,$A9))</f>
        <v/>
      </c>
      <c r="R9" s="17" t="str">
        <f aca="false">IF(SUMIFS(Registro!$J:$J,Registro!$A:$A,R$3,Registro!$F:$F,$A9)=0,"",SUMIFS(Registro!$J:$J,Registro!$A:$A,R$3,Registro!$F:$F,$A9))</f>
        <v/>
      </c>
      <c r="S9" s="17" t="str">
        <f aca="false">IF(SUMIFS(Registro!$J:$J,Registro!$A:$A,S$3,Registro!$F:$F,$A9)=0,"",SUMIFS(Registro!$J:$J,Registro!$A:$A,S$3,Registro!$F:$F,$A9))</f>
        <v/>
      </c>
      <c r="T9" s="17" t="str">
        <f aca="false">IF(SUMIFS(Registro!$J:$J,Registro!$A:$A,T$3,Registro!$F:$F,$A9)=0,"",SUMIFS(Registro!$J:$J,Registro!$A:$A,T$3,Registro!$F:$F,$A9))</f>
        <v/>
      </c>
      <c r="U9" s="17" t="str">
        <f aca="false">IF(SUMIFS(Registro!$J:$J,Registro!$A:$A,U$3,Registro!$F:$F,$A9)=0,"",SUMIFS(Registro!$J:$J,Registro!$A:$A,U$3,Registro!$F:$F,$A9))</f>
        <v/>
      </c>
      <c r="V9" s="17" t="str">
        <f aca="false">IF(SUMIFS(Registro!$J:$J,Registro!$A:$A,V$3,Registro!$F:$F,$A9)=0,"",SUMIFS(Registro!$J:$J,Registro!$A:$A,V$3,Registro!$F:$F,$A9))</f>
        <v/>
      </c>
      <c r="W9" s="17" t="str">
        <f aca="false">IF(SUMIFS(Registro!$J:$J,Registro!$A:$A,W$3,Registro!$F:$F,$A9)=0,"",SUMIFS(Registro!$J:$J,Registro!$A:$A,W$3,Registro!$F:$F,$A9))</f>
        <v/>
      </c>
      <c r="X9" s="17" t="str">
        <f aca="false">IF(SUMIFS(Registro!$J:$J,Registro!$A:$A,X$3,Registro!$F:$F,$A9)=0,"",SUMIFS(Registro!$J:$J,Registro!$A:$A,X$3,Registro!$F:$F,$A9))</f>
        <v/>
      </c>
      <c r="Y9" s="17" t="str">
        <f aca="false">IF(SUMIFS(Registro!$J:$J,Registro!$A:$A,Y$3,Registro!$F:$F,$A9)=0,"",SUMIFS(Registro!$J:$J,Registro!$A:$A,Y$3,Registro!$F:$F,$A9))</f>
        <v/>
      </c>
      <c r="Z9" s="17" t="str">
        <f aca="false">IF(SUMIFS(Registro!$J:$J,Registro!$A:$A,Z$3,Registro!$F:$F,$A9)=0,"",SUMIFS(Registro!$J:$J,Registro!$A:$A,Z$3,Registro!$F:$F,$A9))</f>
        <v/>
      </c>
      <c r="AA9" s="17" t="str">
        <f aca="false">IF(SUMIFS(Registro!$J:$J,Registro!$A:$A,AA$3,Registro!$F:$F,$A9)=0,"",SUMIFS(Registro!$J:$J,Registro!$A:$A,AA$3,Registro!$F:$F,$A9))</f>
        <v/>
      </c>
      <c r="AB9" s="17" t="str">
        <f aca="false">IF(SUMIFS(Registro!$J:$J,Registro!$A:$A,AB$3,Registro!$F:$F,$A9)=0,"",SUMIFS(Registro!$J:$J,Registro!$A:$A,AB$3,Registro!$F:$F,$A9))</f>
        <v/>
      </c>
      <c r="AC9" s="17" t="str">
        <f aca="false">IF(SUMIFS(Registro!$J:$J,Registro!$A:$A,AC$3,Registro!$F:$F,$A9)=0,"",SUMIFS(Registro!$J:$J,Registro!$A:$A,AC$3,Registro!$F:$F,$A9))</f>
        <v/>
      </c>
      <c r="AD9" s="17" t="str">
        <f aca="false">IF(SUMIFS(Registro!$J:$J,Registro!$A:$A,AD$3,Registro!$F:$F,$A9)=0,"",SUMIFS(Registro!$J:$J,Registro!$A:$A,AD$3,Registro!$F:$F,$A9))</f>
        <v/>
      </c>
      <c r="AE9" s="17" t="str">
        <f aca="false">IF(SUMIFS(Registro!$J:$J,Registro!$A:$A,AE$3,Registro!$F:$F,$A9)=0,"",SUMIFS(Registro!$J:$J,Registro!$A:$A,AE$3,Registro!$F:$F,$A9))</f>
        <v/>
      </c>
      <c r="AF9" s="17" t="str">
        <f aca="false">IF(SUMIFS(Registro!$J:$J,Registro!$A:$A,AF$3,Registro!$F:$F,$A9)=0,"",SUMIFS(Registro!$J:$J,Registro!$A:$A,AF$3,Registro!$F:$F,$A9))</f>
        <v/>
      </c>
      <c r="AG9" s="17" t="str">
        <f aca="false">IF(SUMIFS(Registro!$J:$J,Registro!$A:$A,AG$3,Registro!$F:$F,$A9)=0,"",SUMIFS(Registro!$J:$J,Registro!$A:$A,AG$3,Registro!$F:$F,$A9))</f>
        <v/>
      </c>
      <c r="AH9" s="17" t="str">
        <f aca="false">IF(SUMIFS(Registro!$J:$J,Registro!$A:$A,AH$3,Registro!$F:$F,$A9)=0,"",SUMIFS(Registro!$J:$J,Registro!$A:$A,AH$3,Registro!$F:$F,$A9))</f>
        <v/>
      </c>
      <c r="AI9" s="17" t="str">
        <f aca="false">IF(SUMIFS(Registro!$J:$J,Registro!$A:$A,AI$3,Registro!$F:$F,$A9)=0,"",SUMIFS(Registro!$J:$J,Registro!$A:$A,AI$3,Registro!$F:$F,$A9))</f>
        <v/>
      </c>
      <c r="AJ9" s="17" t="str">
        <f aca="false">IF(SUMIFS(Registro!$J:$J,Registro!$A:$A,AJ$3,Registro!$F:$F,$A9)=0,"",SUMIFS(Registro!$J:$J,Registro!$A:$A,AJ$3,Registro!$F:$F,$A9))</f>
        <v/>
      </c>
      <c r="AK9" s="17" t="str">
        <f aca="false">IF(SUMIFS(Registro!$J:$J,Registro!$A:$A,AK$3,Registro!$F:$F,$A9)=0,"",SUMIFS(Registro!$J:$J,Registro!$A:$A,AK$3,Registro!$F:$F,$A9))</f>
        <v/>
      </c>
      <c r="AL9" s="17" t="str">
        <f aca="false">IF(SUMIFS(Registro!$J:$J,Registro!$A:$A,AL$3,Registro!$F:$F,$A9)=0,"",SUMIFS(Registro!$J:$J,Registro!$A:$A,AL$3,Registro!$F:$F,$A9))</f>
        <v/>
      </c>
      <c r="AM9" s="17" t="str">
        <f aca="false">IF(SUMIFS(Registro!$J:$J,Registro!$A:$A,AM$3,Registro!$F:$F,$A9)=0,"",SUMIFS(Registro!$J:$J,Registro!$A:$A,AM$3,Registro!$F:$F,$A9))</f>
        <v/>
      </c>
      <c r="AN9" s="17" t="str">
        <f aca="false">IF(SUMIFS(Registro!$J:$J,Registro!$A:$A,AN$3,Registro!$F:$F,$A9)=0,"",SUMIFS(Registro!$J:$J,Registro!$A:$A,AN$3,Registro!$F:$F,$A9))</f>
        <v/>
      </c>
    </row>
    <row r="10" customFormat="false" ht="15" hidden="false" customHeight="false" outlineLevel="0" collapsed="false">
      <c r="A10" s="22" t="str">
        <f aca="false">Jugadores!$B$10</f>
        <v>Jugador 6</v>
      </c>
      <c r="B10" s="17" t="str">
        <f aca="false">IF(SUMIFS(Registro!$J:$J,Registro!$A:$A,B$3,Registro!$F:$F,$A10)=0,"",SUMIFS(Registro!$J:$J,Registro!$A:$A,B$3,Registro!$F:$F,$A10))</f>
        <v/>
      </c>
      <c r="C10" s="17" t="str">
        <f aca="false">IF(SUMIFS(Registro!$J:$J,Registro!$A:$A,C$3,Registro!$F:$F,$A10)=0,"",SUMIFS(Registro!$J:$J,Registro!$A:$A,C$3,Registro!$F:$F,$A10))</f>
        <v/>
      </c>
      <c r="D10" s="17" t="str">
        <f aca="false">IF(SUMIFS(Registro!$J:$J,Registro!$A:$A,D$3,Registro!$F:$F,$A10)=0,"",SUMIFS(Registro!$J:$J,Registro!$A:$A,D$3,Registro!$F:$F,$A10))</f>
        <v/>
      </c>
      <c r="E10" s="17" t="str">
        <f aca="false">IF(SUMIFS(Registro!$J:$J,Registro!$A:$A,E$3,Registro!$F:$F,$A10)=0,"",SUMIFS(Registro!$J:$J,Registro!$A:$A,E$3,Registro!$F:$F,$A10))</f>
        <v/>
      </c>
      <c r="F10" s="17" t="str">
        <f aca="false">IF(SUMIFS(Registro!$J:$J,Registro!$A:$A,F$3,Registro!$F:$F,$A10)=0,"",SUMIFS(Registro!$J:$J,Registro!$A:$A,F$3,Registro!$F:$F,$A10))</f>
        <v/>
      </c>
      <c r="G10" s="17" t="str">
        <f aca="false">IF(SUMIFS(Registro!$J:$J,Registro!$A:$A,G$3,Registro!$F:$F,$A10)=0,"",SUMIFS(Registro!$J:$J,Registro!$A:$A,G$3,Registro!$F:$F,$A10))</f>
        <v/>
      </c>
      <c r="H10" s="17" t="str">
        <f aca="false">IF(SUMIFS(Registro!$J:$J,Registro!$A:$A,H$3,Registro!$F:$F,$A10)=0,"",SUMIFS(Registro!$J:$J,Registro!$A:$A,H$3,Registro!$F:$F,$A10))</f>
        <v/>
      </c>
      <c r="I10" s="17" t="str">
        <f aca="false">IF(SUMIFS(Registro!$J:$J,Registro!$A:$A,I$3,Registro!$F:$F,$A10)=0,"",SUMIFS(Registro!$J:$J,Registro!$A:$A,I$3,Registro!$F:$F,$A10))</f>
        <v/>
      </c>
      <c r="J10" s="17" t="str">
        <f aca="false">IF(SUMIFS(Registro!$J:$J,Registro!$A:$A,J$3,Registro!$F:$F,$A10)=0,"",SUMIFS(Registro!$J:$J,Registro!$A:$A,J$3,Registro!$F:$F,$A10))</f>
        <v/>
      </c>
      <c r="K10" s="17" t="str">
        <f aca="false">IF(SUMIFS(Registro!$J:$J,Registro!$A:$A,K$3,Registro!$F:$F,$A10)=0,"",SUMIFS(Registro!$J:$J,Registro!$A:$A,K$3,Registro!$F:$F,$A10))</f>
        <v/>
      </c>
      <c r="L10" s="17" t="str">
        <f aca="false">IF(SUMIFS(Registro!$J:$J,Registro!$A:$A,L$3,Registro!$F:$F,$A10)=0,"",SUMIFS(Registro!$J:$J,Registro!$A:$A,L$3,Registro!$F:$F,$A10))</f>
        <v/>
      </c>
      <c r="M10" s="17" t="str">
        <f aca="false">IF(SUMIFS(Registro!$J:$J,Registro!$A:$A,M$3,Registro!$F:$F,$A10)=0,"",SUMIFS(Registro!$J:$J,Registro!$A:$A,M$3,Registro!$F:$F,$A10))</f>
        <v/>
      </c>
      <c r="N10" s="17" t="str">
        <f aca="false">IF(SUMIFS(Registro!$J:$J,Registro!$A:$A,N$3,Registro!$F:$F,$A10)=0,"",SUMIFS(Registro!$J:$J,Registro!$A:$A,N$3,Registro!$F:$F,$A10))</f>
        <v/>
      </c>
      <c r="O10" s="17" t="str">
        <f aca="false">IF(SUMIFS(Registro!$J:$J,Registro!$A:$A,O$3,Registro!$F:$F,$A10)=0,"",SUMIFS(Registro!$J:$J,Registro!$A:$A,O$3,Registro!$F:$F,$A10))</f>
        <v/>
      </c>
      <c r="P10" s="17" t="str">
        <f aca="false">IF(SUMIFS(Registro!$J:$J,Registro!$A:$A,P$3,Registro!$F:$F,$A10)=0,"",SUMIFS(Registro!$J:$J,Registro!$A:$A,P$3,Registro!$F:$F,$A10))</f>
        <v/>
      </c>
      <c r="Q10" s="17" t="str">
        <f aca="false">IF(SUMIFS(Registro!$J:$J,Registro!$A:$A,Q$3,Registro!$F:$F,$A10)=0,"",SUMIFS(Registro!$J:$J,Registro!$A:$A,Q$3,Registro!$F:$F,$A10))</f>
        <v/>
      </c>
      <c r="R10" s="17" t="str">
        <f aca="false">IF(SUMIFS(Registro!$J:$J,Registro!$A:$A,R$3,Registro!$F:$F,$A10)=0,"",SUMIFS(Registro!$J:$J,Registro!$A:$A,R$3,Registro!$F:$F,$A10))</f>
        <v/>
      </c>
      <c r="S10" s="17" t="str">
        <f aca="false">IF(SUMIFS(Registro!$J:$J,Registro!$A:$A,S$3,Registro!$F:$F,$A10)=0,"",SUMIFS(Registro!$J:$J,Registro!$A:$A,S$3,Registro!$F:$F,$A10))</f>
        <v/>
      </c>
      <c r="T10" s="17" t="str">
        <f aca="false">IF(SUMIFS(Registro!$J:$J,Registro!$A:$A,T$3,Registro!$F:$F,$A10)=0,"",SUMIFS(Registro!$J:$J,Registro!$A:$A,T$3,Registro!$F:$F,$A10))</f>
        <v/>
      </c>
      <c r="U10" s="17" t="str">
        <f aca="false">IF(SUMIFS(Registro!$J:$J,Registro!$A:$A,U$3,Registro!$F:$F,$A10)=0,"",SUMIFS(Registro!$J:$J,Registro!$A:$A,U$3,Registro!$F:$F,$A10))</f>
        <v/>
      </c>
      <c r="V10" s="17" t="str">
        <f aca="false">IF(SUMIFS(Registro!$J:$J,Registro!$A:$A,V$3,Registro!$F:$F,$A10)=0,"",SUMIFS(Registro!$J:$J,Registro!$A:$A,V$3,Registro!$F:$F,$A10))</f>
        <v/>
      </c>
      <c r="W10" s="17" t="str">
        <f aca="false">IF(SUMIFS(Registro!$J:$J,Registro!$A:$A,W$3,Registro!$F:$F,$A10)=0,"",SUMIFS(Registro!$J:$J,Registro!$A:$A,W$3,Registro!$F:$F,$A10))</f>
        <v/>
      </c>
      <c r="X10" s="17" t="str">
        <f aca="false">IF(SUMIFS(Registro!$J:$J,Registro!$A:$A,X$3,Registro!$F:$F,$A10)=0,"",SUMIFS(Registro!$J:$J,Registro!$A:$A,X$3,Registro!$F:$F,$A10))</f>
        <v/>
      </c>
      <c r="Y10" s="17" t="str">
        <f aca="false">IF(SUMIFS(Registro!$J:$J,Registro!$A:$A,Y$3,Registro!$F:$F,$A10)=0,"",SUMIFS(Registro!$J:$J,Registro!$A:$A,Y$3,Registro!$F:$F,$A10))</f>
        <v/>
      </c>
      <c r="Z10" s="17" t="str">
        <f aca="false">IF(SUMIFS(Registro!$J:$J,Registro!$A:$A,Z$3,Registro!$F:$F,$A10)=0,"",SUMIFS(Registro!$J:$J,Registro!$A:$A,Z$3,Registro!$F:$F,$A10))</f>
        <v/>
      </c>
      <c r="AA10" s="17" t="str">
        <f aca="false">IF(SUMIFS(Registro!$J:$J,Registro!$A:$A,AA$3,Registro!$F:$F,$A10)=0,"",SUMIFS(Registro!$J:$J,Registro!$A:$A,AA$3,Registro!$F:$F,$A10))</f>
        <v/>
      </c>
      <c r="AB10" s="17" t="str">
        <f aca="false">IF(SUMIFS(Registro!$J:$J,Registro!$A:$A,AB$3,Registro!$F:$F,$A10)=0,"",SUMIFS(Registro!$J:$J,Registro!$A:$A,AB$3,Registro!$F:$F,$A10))</f>
        <v/>
      </c>
      <c r="AC10" s="17" t="str">
        <f aca="false">IF(SUMIFS(Registro!$J:$J,Registro!$A:$A,AC$3,Registro!$F:$F,$A10)=0,"",SUMIFS(Registro!$J:$J,Registro!$A:$A,AC$3,Registro!$F:$F,$A10))</f>
        <v/>
      </c>
      <c r="AD10" s="17" t="str">
        <f aca="false">IF(SUMIFS(Registro!$J:$J,Registro!$A:$A,AD$3,Registro!$F:$F,$A10)=0,"",SUMIFS(Registro!$J:$J,Registro!$A:$A,AD$3,Registro!$F:$F,$A10))</f>
        <v/>
      </c>
      <c r="AE10" s="17" t="str">
        <f aca="false">IF(SUMIFS(Registro!$J:$J,Registro!$A:$A,AE$3,Registro!$F:$F,$A10)=0,"",SUMIFS(Registro!$J:$J,Registro!$A:$A,AE$3,Registro!$F:$F,$A10))</f>
        <v/>
      </c>
      <c r="AF10" s="17" t="str">
        <f aca="false">IF(SUMIFS(Registro!$J:$J,Registro!$A:$A,AF$3,Registro!$F:$F,$A10)=0,"",SUMIFS(Registro!$J:$J,Registro!$A:$A,AF$3,Registro!$F:$F,$A10))</f>
        <v/>
      </c>
      <c r="AG10" s="17" t="str">
        <f aca="false">IF(SUMIFS(Registro!$J:$J,Registro!$A:$A,AG$3,Registro!$F:$F,$A10)=0,"",SUMIFS(Registro!$J:$J,Registro!$A:$A,AG$3,Registro!$F:$F,$A10))</f>
        <v/>
      </c>
      <c r="AH10" s="17" t="str">
        <f aca="false">IF(SUMIFS(Registro!$J:$J,Registro!$A:$A,AH$3,Registro!$F:$F,$A10)=0,"",SUMIFS(Registro!$J:$J,Registro!$A:$A,AH$3,Registro!$F:$F,$A10))</f>
        <v/>
      </c>
      <c r="AI10" s="17" t="str">
        <f aca="false">IF(SUMIFS(Registro!$J:$J,Registro!$A:$A,AI$3,Registro!$F:$F,$A10)=0,"",SUMIFS(Registro!$J:$J,Registro!$A:$A,AI$3,Registro!$F:$F,$A10))</f>
        <v/>
      </c>
      <c r="AJ10" s="17" t="str">
        <f aca="false">IF(SUMIFS(Registro!$J:$J,Registro!$A:$A,AJ$3,Registro!$F:$F,$A10)=0,"",SUMIFS(Registro!$J:$J,Registro!$A:$A,AJ$3,Registro!$F:$F,$A10))</f>
        <v/>
      </c>
      <c r="AK10" s="17" t="str">
        <f aca="false">IF(SUMIFS(Registro!$J:$J,Registro!$A:$A,AK$3,Registro!$F:$F,$A10)=0,"",SUMIFS(Registro!$J:$J,Registro!$A:$A,AK$3,Registro!$F:$F,$A10))</f>
        <v/>
      </c>
      <c r="AL10" s="17" t="str">
        <f aca="false">IF(SUMIFS(Registro!$J:$J,Registro!$A:$A,AL$3,Registro!$F:$F,$A10)=0,"",SUMIFS(Registro!$J:$J,Registro!$A:$A,AL$3,Registro!$F:$F,$A10))</f>
        <v/>
      </c>
      <c r="AM10" s="17" t="str">
        <f aca="false">IF(SUMIFS(Registro!$J:$J,Registro!$A:$A,AM$3,Registro!$F:$F,$A10)=0,"",SUMIFS(Registro!$J:$J,Registro!$A:$A,AM$3,Registro!$F:$F,$A10))</f>
        <v/>
      </c>
      <c r="AN10" s="17" t="str">
        <f aca="false">IF(SUMIFS(Registro!$J:$J,Registro!$A:$A,AN$3,Registro!$F:$F,$A10)=0,"",SUMIFS(Registro!$J:$J,Registro!$A:$A,AN$3,Registro!$F:$F,$A10))</f>
        <v/>
      </c>
    </row>
    <row r="11" customFormat="false" ht="15" hidden="false" customHeight="false" outlineLevel="0" collapsed="false">
      <c r="A11" s="22" t="str">
        <f aca="false">Jugadores!$B$11</f>
        <v>Jugador 7</v>
      </c>
      <c r="B11" s="17" t="str">
        <f aca="false">IF(SUMIFS(Registro!$J:$J,Registro!$A:$A,B$3,Registro!$F:$F,$A11)=0,"",SUMIFS(Registro!$J:$J,Registro!$A:$A,B$3,Registro!$F:$F,$A11))</f>
        <v/>
      </c>
      <c r="C11" s="17" t="str">
        <f aca="false">IF(SUMIFS(Registro!$J:$J,Registro!$A:$A,C$3,Registro!$F:$F,$A11)=0,"",SUMIFS(Registro!$J:$J,Registro!$A:$A,C$3,Registro!$F:$F,$A11))</f>
        <v/>
      </c>
      <c r="D11" s="17" t="str">
        <f aca="false">IF(SUMIFS(Registro!$J:$J,Registro!$A:$A,D$3,Registro!$F:$F,$A11)=0,"",SUMIFS(Registro!$J:$J,Registro!$A:$A,D$3,Registro!$F:$F,$A11))</f>
        <v/>
      </c>
      <c r="E11" s="17" t="str">
        <f aca="false">IF(SUMIFS(Registro!$J:$J,Registro!$A:$A,E$3,Registro!$F:$F,$A11)=0,"",SUMIFS(Registro!$J:$J,Registro!$A:$A,E$3,Registro!$F:$F,$A11))</f>
        <v/>
      </c>
      <c r="F11" s="17" t="str">
        <f aca="false">IF(SUMIFS(Registro!$J:$J,Registro!$A:$A,F$3,Registro!$F:$F,$A11)=0,"",SUMIFS(Registro!$J:$J,Registro!$A:$A,F$3,Registro!$F:$F,$A11))</f>
        <v/>
      </c>
      <c r="G11" s="17" t="str">
        <f aca="false">IF(SUMIFS(Registro!$J:$J,Registro!$A:$A,G$3,Registro!$F:$F,$A11)=0,"",SUMIFS(Registro!$J:$J,Registro!$A:$A,G$3,Registro!$F:$F,$A11))</f>
        <v/>
      </c>
      <c r="H11" s="17" t="str">
        <f aca="false">IF(SUMIFS(Registro!$J:$J,Registro!$A:$A,H$3,Registro!$F:$F,$A11)=0,"",SUMIFS(Registro!$J:$J,Registro!$A:$A,H$3,Registro!$F:$F,$A11))</f>
        <v/>
      </c>
      <c r="I11" s="17" t="str">
        <f aca="false">IF(SUMIFS(Registro!$J:$J,Registro!$A:$A,I$3,Registro!$F:$F,$A11)=0,"",SUMIFS(Registro!$J:$J,Registro!$A:$A,I$3,Registro!$F:$F,$A11))</f>
        <v/>
      </c>
      <c r="J11" s="17" t="str">
        <f aca="false">IF(SUMIFS(Registro!$J:$J,Registro!$A:$A,J$3,Registro!$F:$F,$A11)=0,"",SUMIFS(Registro!$J:$J,Registro!$A:$A,J$3,Registro!$F:$F,$A11))</f>
        <v/>
      </c>
      <c r="K11" s="17" t="str">
        <f aca="false">IF(SUMIFS(Registro!$J:$J,Registro!$A:$A,K$3,Registro!$F:$F,$A11)=0,"",SUMIFS(Registro!$J:$J,Registro!$A:$A,K$3,Registro!$F:$F,$A11))</f>
        <v/>
      </c>
      <c r="L11" s="17" t="str">
        <f aca="false">IF(SUMIFS(Registro!$J:$J,Registro!$A:$A,L$3,Registro!$F:$F,$A11)=0,"",SUMIFS(Registro!$J:$J,Registro!$A:$A,L$3,Registro!$F:$F,$A11))</f>
        <v/>
      </c>
      <c r="M11" s="17" t="str">
        <f aca="false">IF(SUMIFS(Registro!$J:$J,Registro!$A:$A,M$3,Registro!$F:$F,$A11)=0,"",SUMIFS(Registro!$J:$J,Registro!$A:$A,M$3,Registro!$F:$F,$A11))</f>
        <v/>
      </c>
      <c r="N11" s="17" t="str">
        <f aca="false">IF(SUMIFS(Registro!$J:$J,Registro!$A:$A,N$3,Registro!$F:$F,$A11)=0,"",SUMIFS(Registro!$J:$J,Registro!$A:$A,N$3,Registro!$F:$F,$A11))</f>
        <v/>
      </c>
      <c r="O11" s="17" t="str">
        <f aca="false">IF(SUMIFS(Registro!$J:$J,Registro!$A:$A,O$3,Registro!$F:$F,$A11)=0,"",SUMIFS(Registro!$J:$J,Registro!$A:$A,O$3,Registro!$F:$F,$A11))</f>
        <v/>
      </c>
      <c r="P11" s="17" t="str">
        <f aca="false">IF(SUMIFS(Registro!$J:$J,Registro!$A:$A,P$3,Registro!$F:$F,$A11)=0,"",SUMIFS(Registro!$J:$J,Registro!$A:$A,P$3,Registro!$F:$F,$A11))</f>
        <v/>
      </c>
      <c r="Q11" s="17" t="str">
        <f aca="false">IF(SUMIFS(Registro!$J:$J,Registro!$A:$A,Q$3,Registro!$F:$F,$A11)=0,"",SUMIFS(Registro!$J:$J,Registro!$A:$A,Q$3,Registro!$F:$F,$A11))</f>
        <v/>
      </c>
      <c r="R11" s="17" t="str">
        <f aca="false">IF(SUMIFS(Registro!$J:$J,Registro!$A:$A,R$3,Registro!$F:$F,$A11)=0,"",SUMIFS(Registro!$J:$J,Registro!$A:$A,R$3,Registro!$F:$F,$A11))</f>
        <v/>
      </c>
      <c r="S11" s="17" t="str">
        <f aca="false">IF(SUMIFS(Registro!$J:$J,Registro!$A:$A,S$3,Registro!$F:$F,$A11)=0,"",SUMIFS(Registro!$J:$J,Registro!$A:$A,S$3,Registro!$F:$F,$A11))</f>
        <v/>
      </c>
      <c r="T11" s="17" t="str">
        <f aca="false">IF(SUMIFS(Registro!$J:$J,Registro!$A:$A,T$3,Registro!$F:$F,$A11)=0,"",SUMIFS(Registro!$J:$J,Registro!$A:$A,T$3,Registro!$F:$F,$A11))</f>
        <v/>
      </c>
      <c r="U11" s="17" t="str">
        <f aca="false">IF(SUMIFS(Registro!$J:$J,Registro!$A:$A,U$3,Registro!$F:$F,$A11)=0,"",SUMIFS(Registro!$J:$J,Registro!$A:$A,U$3,Registro!$F:$F,$A11))</f>
        <v/>
      </c>
      <c r="V11" s="17" t="str">
        <f aca="false">IF(SUMIFS(Registro!$J:$J,Registro!$A:$A,V$3,Registro!$F:$F,$A11)=0,"",SUMIFS(Registro!$J:$J,Registro!$A:$A,V$3,Registro!$F:$F,$A11))</f>
        <v/>
      </c>
      <c r="W11" s="17" t="str">
        <f aca="false">IF(SUMIFS(Registro!$J:$J,Registro!$A:$A,W$3,Registro!$F:$F,$A11)=0,"",SUMIFS(Registro!$J:$J,Registro!$A:$A,W$3,Registro!$F:$F,$A11))</f>
        <v/>
      </c>
      <c r="X11" s="17" t="str">
        <f aca="false">IF(SUMIFS(Registro!$J:$J,Registro!$A:$A,X$3,Registro!$F:$F,$A11)=0,"",SUMIFS(Registro!$J:$J,Registro!$A:$A,X$3,Registro!$F:$F,$A11))</f>
        <v/>
      </c>
      <c r="Y11" s="17" t="str">
        <f aca="false">IF(SUMIFS(Registro!$J:$J,Registro!$A:$A,Y$3,Registro!$F:$F,$A11)=0,"",SUMIFS(Registro!$J:$J,Registro!$A:$A,Y$3,Registro!$F:$F,$A11))</f>
        <v/>
      </c>
      <c r="Z11" s="17" t="str">
        <f aca="false">IF(SUMIFS(Registro!$J:$J,Registro!$A:$A,Z$3,Registro!$F:$F,$A11)=0,"",SUMIFS(Registro!$J:$J,Registro!$A:$A,Z$3,Registro!$F:$F,$A11))</f>
        <v/>
      </c>
      <c r="AA11" s="17" t="str">
        <f aca="false">IF(SUMIFS(Registro!$J:$J,Registro!$A:$A,AA$3,Registro!$F:$F,$A11)=0,"",SUMIFS(Registro!$J:$J,Registro!$A:$A,AA$3,Registro!$F:$F,$A11))</f>
        <v/>
      </c>
      <c r="AB11" s="17" t="str">
        <f aca="false">IF(SUMIFS(Registro!$J:$J,Registro!$A:$A,AB$3,Registro!$F:$F,$A11)=0,"",SUMIFS(Registro!$J:$J,Registro!$A:$A,AB$3,Registro!$F:$F,$A11))</f>
        <v/>
      </c>
      <c r="AC11" s="17" t="str">
        <f aca="false">IF(SUMIFS(Registro!$J:$J,Registro!$A:$A,AC$3,Registro!$F:$F,$A11)=0,"",SUMIFS(Registro!$J:$J,Registro!$A:$A,AC$3,Registro!$F:$F,$A11))</f>
        <v/>
      </c>
      <c r="AD11" s="17" t="str">
        <f aca="false">IF(SUMIFS(Registro!$J:$J,Registro!$A:$A,AD$3,Registro!$F:$F,$A11)=0,"",SUMIFS(Registro!$J:$J,Registro!$A:$A,AD$3,Registro!$F:$F,$A11))</f>
        <v/>
      </c>
      <c r="AE11" s="17" t="str">
        <f aca="false">IF(SUMIFS(Registro!$J:$J,Registro!$A:$A,AE$3,Registro!$F:$F,$A11)=0,"",SUMIFS(Registro!$J:$J,Registro!$A:$A,AE$3,Registro!$F:$F,$A11))</f>
        <v/>
      </c>
      <c r="AF11" s="17" t="str">
        <f aca="false">IF(SUMIFS(Registro!$J:$J,Registro!$A:$A,AF$3,Registro!$F:$F,$A11)=0,"",SUMIFS(Registro!$J:$J,Registro!$A:$A,AF$3,Registro!$F:$F,$A11))</f>
        <v/>
      </c>
      <c r="AG11" s="17" t="str">
        <f aca="false">IF(SUMIFS(Registro!$J:$J,Registro!$A:$A,AG$3,Registro!$F:$F,$A11)=0,"",SUMIFS(Registro!$J:$J,Registro!$A:$A,AG$3,Registro!$F:$F,$A11))</f>
        <v/>
      </c>
      <c r="AH11" s="17" t="str">
        <f aca="false">IF(SUMIFS(Registro!$J:$J,Registro!$A:$A,AH$3,Registro!$F:$F,$A11)=0,"",SUMIFS(Registro!$J:$J,Registro!$A:$A,AH$3,Registro!$F:$F,$A11))</f>
        <v/>
      </c>
      <c r="AI11" s="17" t="str">
        <f aca="false">IF(SUMIFS(Registro!$J:$J,Registro!$A:$A,AI$3,Registro!$F:$F,$A11)=0,"",SUMIFS(Registro!$J:$J,Registro!$A:$A,AI$3,Registro!$F:$F,$A11))</f>
        <v/>
      </c>
      <c r="AJ11" s="17" t="str">
        <f aca="false">IF(SUMIFS(Registro!$J:$J,Registro!$A:$A,AJ$3,Registro!$F:$F,$A11)=0,"",SUMIFS(Registro!$J:$J,Registro!$A:$A,AJ$3,Registro!$F:$F,$A11))</f>
        <v/>
      </c>
      <c r="AK11" s="17" t="str">
        <f aca="false">IF(SUMIFS(Registro!$J:$J,Registro!$A:$A,AK$3,Registro!$F:$F,$A11)=0,"",SUMIFS(Registro!$J:$J,Registro!$A:$A,AK$3,Registro!$F:$F,$A11))</f>
        <v/>
      </c>
      <c r="AL11" s="17" t="str">
        <f aca="false">IF(SUMIFS(Registro!$J:$J,Registro!$A:$A,AL$3,Registro!$F:$F,$A11)=0,"",SUMIFS(Registro!$J:$J,Registro!$A:$A,AL$3,Registro!$F:$F,$A11))</f>
        <v/>
      </c>
      <c r="AM11" s="17" t="str">
        <f aca="false">IF(SUMIFS(Registro!$J:$J,Registro!$A:$A,AM$3,Registro!$F:$F,$A11)=0,"",SUMIFS(Registro!$J:$J,Registro!$A:$A,AM$3,Registro!$F:$F,$A11))</f>
        <v/>
      </c>
      <c r="AN11" s="17" t="str">
        <f aca="false">IF(SUMIFS(Registro!$J:$J,Registro!$A:$A,AN$3,Registro!$F:$F,$A11)=0,"",SUMIFS(Registro!$J:$J,Registro!$A:$A,AN$3,Registro!$F:$F,$A11))</f>
        <v/>
      </c>
    </row>
    <row r="12" customFormat="false" ht="15" hidden="false" customHeight="false" outlineLevel="0" collapsed="false">
      <c r="A12" s="22" t="str">
        <f aca="false">Jugadores!$B$12</f>
        <v>Jugador 8</v>
      </c>
      <c r="B12" s="17" t="str">
        <f aca="false">IF(SUMIFS(Registro!$J:$J,Registro!$A:$A,B$3,Registro!$F:$F,$A12)=0,"",SUMIFS(Registro!$J:$J,Registro!$A:$A,B$3,Registro!$F:$F,$A12))</f>
        <v/>
      </c>
      <c r="C12" s="17" t="str">
        <f aca="false">IF(SUMIFS(Registro!$J:$J,Registro!$A:$A,C$3,Registro!$F:$F,$A12)=0,"",SUMIFS(Registro!$J:$J,Registro!$A:$A,C$3,Registro!$F:$F,$A12))</f>
        <v/>
      </c>
      <c r="D12" s="17" t="str">
        <f aca="false">IF(SUMIFS(Registro!$J:$J,Registro!$A:$A,D$3,Registro!$F:$F,$A12)=0,"",SUMIFS(Registro!$J:$J,Registro!$A:$A,D$3,Registro!$F:$F,$A12))</f>
        <v/>
      </c>
      <c r="E12" s="17" t="str">
        <f aca="false">IF(SUMIFS(Registro!$J:$J,Registro!$A:$A,E$3,Registro!$F:$F,$A12)=0,"",SUMIFS(Registro!$J:$J,Registro!$A:$A,E$3,Registro!$F:$F,$A12))</f>
        <v/>
      </c>
      <c r="F12" s="17" t="str">
        <f aca="false">IF(SUMIFS(Registro!$J:$J,Registro!$A:$A,F$3,Registro!$F:$F,$A12)=0,"",SUMIFS(Registro!$J:$J,Registro!$A:$A,F$3,Registro!$F:$F,$A12))</f>
        <v/>
      </c>
      <c r="G12" s="17" t="str">
        <f aca="false">IF(SUMIFS(Registro!$J:$J,Registro!$A:$A,G$3,Registro!$F:$F,$A12)=0,"",SUMIFS(Registro!$J:$J,Registro!$A:$A,G$3,Registro!$F:$F,$A12))</f>
        <v/>
      </c>
      <c r="H12" s="17" t="str">
        <f aca="false">IF(SUMIFS(Registro!$J:$J,Registro!$A:$A,H$3,Registro!$F:$F,$A12)=0,"",SUMIFS(Registro!$J:$J,Registro!$A:$A,H$3,Registro!$F:$F,$A12))</f>
        <v/>
      </c>
      <c r="I12" s="17" t="str">
        <f aca="false">IF(SUMIFS(Registro!$J:$J,Registro!$A:$A,I$3,Registro!$F:$F,$A12)=0,"",SUMIFS(Registro!$J:$J,Registro!$A:$A,I$3,Registro!$F:$F,$A12))</f>
        <v/>
      </c>
      <c r="J12" s="17" t="str">
        <f aca="false">IF(SUMIFS(Registro!$J:$J,Registro!$A:$A,J$3,Registro!$F:$F,$A12)=0,"",SUMIFS(Registro!$J:$J,Registro!$A:$A,J$3,Registro!$F:$F,$A12))</f>
        <v/>
      </c>
      <c r="K12" s="17" t="str">
        <f aca="false">IF(SUMIFS(Registro!$J:$J,Registro!$A:$A,K$3,Registro!$F:$F,$A12)=0,"",SUMIFS(Registro!$J:$J,Registro!$A:$A,K$3,Registro!$F:$F,$A12))</f>
        <v/>
      </c>
      <c r="L12" s="17" t="str">
        <f aca="false">IF(SUMIFS(Registro!$J:$J,Registro!$A:$A,L$3,Registro!$F:$F,$A12)=0,"",SUMIFS(Registro!$J:$J,Registro!$A:$A,L$3,Registro!$F:$F,$A12))</f>
        <v/>
      </c>
      <c r="M12" s="17" t="str">
        <f aca="false">IF(SUMIFS(Registro!$J:$J,Registro!$A:$A,M$3,Registro!$F:$F,$A12)=0,"",SUMIFS(Registro!$J:$J,Registro!$A:$A,M$3,Registro!$F:$F,$A12))</f>
        <v/>
      </c>
      <c r="N12" s="17" t="str">
        <f aca="false">IF(SUMIFS(Registro!$J:$J,Registro!$A:$A,N$3,Registro!$F:$F,$A12)=0,"",SUMIFS(Registro!$J:$J,Registro!$A:$A,N$3,Registro!$F:$F,$A12))</f>
        <v/>
      </c>
      <c r="O12" s="17" t="str">
        <f aca="false">IF(SUMIFS(Registro!$J:$J,Registro!$A:$A,O$3,Registro!$F:$F,$A12)=0,"",SUMIFS(Registro!$J:$J,Registro!$A:$A,O$3,Registro!$F:$F,$A12))</f>
        <v/>
      </c>
      <c r="P12" s="17" t="str">
        <f aca="false">IF(SUMIFS(Registro!$J:$J,Registro!$A:$A,P$3,Registro!$F:$F,$A12)=0,"",SUMIFS(Registro!$J:$J,Registro!$A:$A,P$3,Registro!$F:$F,$A12))</f>
        <v/>
      </c>
      <c r="Q12" s="17" t="str">
        <f aca="false">IF(SUMIFS(Registro!$J:$J,Registro!$A:$A,Q$3,Registro!$F:$F,$A12)=0,"",SUMIFS(Registro!$J:$J,Registro!$A:$A,Q$3,Registro!$F:$F,$A12))</f>
        <v/>
      </c>
      <c r="R12" s="17" t="str">
        <f aca="false">IF(SUMIFS(Registro!$J:$J,Registro!$A:$A,R$3,Registro!$F:$F,$A12)=0,"",SUMIFS(Registro!$J:$J,Registro!$A:$A,R$3,Registro!$F:$F,$A12))</f>
        <v/>
      </c>
      <c r="S12" s="17" t="str">
        <f aca="false">IF(SUMIFS(Registro!$J:$J,Registro!$A:$A,S$3,Registro!$F:$F,$A12)=0,"",SUMIFS(Registro!$J:$J,Registro!$A:$A,S$3,Registro!$F:$F,$A12))</f>
        <v/>
      </c>
      <c r="T12" s="17" t="str">
        <f aca="false">IF(SUMIFS(Registro!$J:$J,Registro!$A:$A,T$3,Registro!$F:$F,$A12)=0,"",SUMIFS(Registro!$J:$J,Registro!$A:$A,T$3,Registro!$F:$F,$A12))</f>
        <v/>
      </c>
      <c r="U12" s="17" t="str">
        <f aca="false">IF(SUMIFS(Registro!$J:$J,Registro!$A:$A,U$3,Registro!$F:$F,$A12)=0,"",SUMIFS(Registro!$J:$J,Registro!$A:$A,U$3,Registro!$F:$F,$A12))</f>
        <v/>
      </c>
      <c r="V12" s="17" t="str">
        <f aca="false">IF(SUMIFS(Registro!$J:$J,Registro!$A:$A,V$3,Registro!$F:$F,$A12)=0,"",SUMIFS(Registro!$J:$J,Registro!$A:$A,V$3,Registro!$F:$F,$A12))</f>
        <v/>
      </c>
      <c r="W12" s="17" t="str">
        <f aca="false">IF(SUMIFS(Registro!$J:$J,Registro!$A:$A,W$3,Registro!$F:$F,$A12)=0,"",SUMIFS(Registro!$J:$J,Registro!$A:$A,W$3,Registro!$F:$F,$A12))</f>
        <v/>
      </c>
      <c r="X12" s="17" t="str">
        <f aca="false">IF(SUMIFS(Registro!$J:$J,Registro!$A:$A,X$3,Registro!$F:$F,$A12)=0,"",SUMIFS(Registro!$J:$J,Registro!$A:$A,X$3,Registro!$F:$F,$A12))</f>
        <v/>
      </c>
      <c r="Y12" s="17" t="str">
        <f aca="false">IF(SUMIFS(Registro!$J:$J,Registro!$A:$A,Y$3,Registro!$F:$F,$A12)=0,"",SUMIFS(Registro!$J:$J,Registro!$A:$A,Y$3,Registro!$F:$F,$A12))</f>
        <v/>
      </c>
      <c r="Z12" s="17" t="str">
        <f aca="false">IF(SUMIFS(Registro!$J:$J,Registro!$A:$A,Z$3,Registro!$F:$F,$A12)=0,"",SUMIFS(Registro!$J:$J,Registro!$A:$A,Z$3,Registro!$F:$F,$A12))</f>
        <v/>
      </c>
      <c r="AA12" s="17" t="str">
        <f aca="false">IF(SUMIFS(Registro!$J:$J,Registro!$A:$A,AA$3,Registro!$F:$F,$A12)=0,"",SUMIFS(Registro!$J:$J,Registro!$A:$A,AA$3,Registro!$F:$F,$A12))</f>
        <v/>
      </c>
      <c r="AB12" s="17" t="str">
        <f aca="false">IF(SUMIFS(Registro!$J:$J,Registro!$A:$A,AB$3,Registro!$F:$F,$A12)=0,"",SUMIFS(Registro!$J:$J,Registro!$A:$A,AB$3,Registro!$F:$F,$A12))</f>
        <v/>
      </c>
      <c r="AC12" s="17" t="str">
        <f aca="false">IF(SUMIFS(Registro!$J:$J,Registro!$A:$A,AC$3,Registro!$F:$F,$A12)=0,"",SUMIFS(Registro!$J:$J,Registro!$A:$A,AC$3,Registro!$F:$F,$A12))</f>
        <v/>
      </c>
      <c r="AD12" s="17" t="str">
        <f aca="false">IF(SUMIFS(Registro!$J:$J,Registro!$A:$A,AD$3,Registro!$F:$F,$A12)=0,"",SUMIFS(Registro!$J:$J,Registro!$A:$A,AD$3,Registro!$F:$F,$A12))</f>
        <v/>
      </c>
      <c r="AE12" s="17" t="str">
        <f aca="false">IF(SUMIFS(Registro!$J:$J,Registro!$A:$A,AE$3,Registro!$F:$F,$A12)=0,"",SUMIFS(Registro!$J:$J,Registro!$A:$A,AE$3,Registro!$F:$F,$A12))</f>
        <v/>
      </c>
      <c r="AF12" s="17" t="str">
        <f aca="false">IF(SUMIFS(Registro!$J:$J,Registro!$A:$A,AF$3,Registro!$F:$F,$A12)=0,"",SUMIFS(Registro!$J:$J,Registro!$A:$A,AF$3,Registro!$F:$F,$A12))</f>
        <v/>
      </c>
      <c r="AG12" s="17" t="str">
        <f aca="false">IF(SUMIFS(Registro!$J:$J,Registro!$A:$A,AG$3,Registro!$F:$F,$A12)=0,"",SUMIFS(Registro!$J:$J,Registro!$A:$A,AG$3,Registro!$F:$F,$A12))</f>
        <v/>
      </c>
      <c r="AH12" s="17" t="str">
        <f aca="false">IF(SUMIFS(Registro!$J:$J,Registro!$A:$A,AH$3,Registro!$F:$F,$A12)=0,"",SUMIFS(Registro!$J:$J,Registro!$A:$A,AH$3,Registro!$F:$F,$A12))</f>
        <v/>
      </c>
      <c r="AI12" s="17" t="str">
        <f aca="false">IF(SUMIFS(Registro!$J:$J,Registro!$A:$A,AI$3,Registro!$F:$F,$A12)=0,"",SUMIFS(Registro!$J:$J,Registro!$A:$A,AI$3,Registro!$F:$F,$A12))</f>
        <v/>
      </c>
      <c r="AJ12" s="17" t="str">
        <f aca="false">IF(SUMIFS(Registro!$J:$J,Registro!$A:$A,AJ$3,Registro!$F:$F,$A12)=0,"",SUMIFS(Registro!$J:$J,Registro!$A:$A,AJ$3,Registro!$F:$F,$A12))</f>
        <v/>
      </c>
      <c r="AK12" s="17" t="str">
        <f aca="false">IF(SUMIFS(Registro!$J:$J,Registro!$A:$A,AK$3,Registro!$F:$F,$A12)=0,"",SUMIFS(Registro!$J:$J,Registro!$A:$A,AK$3,Registro!$F:$F,$A12))</f>
        <v/>
      </c>
      <c r="AL12" s="17" t="str">
        <f aca="false">IF(SUMIFS(Registro!$J:$J,Registro!$A:$A,AL$3,Registro!$F:$F,$A12)=0,"",SUMIFS(Registro!$J:$J,Registro!$A:$A,AL$3,Registro!$F:$F,$A12))</f>
        <v/>
      </c>
      <c r="AM12" s="17" t="str">
        <f aca="false">IF(SUMIFS(Registro!$J:$J,Registro!$A:$A,AM$3,Registro!$F:$F,$A12)=0,"",SUMIFS(Registro!$J:$J,Registro!$A:$A,AM$3,Registro!$F:$F,$A12))</f>
        <v/>
      </c>
      <c r="AN12" s="17" t="str">
        <f aca="false">IF(SUMIFS(Registro!$J:$J,Registro!$A:$A,AN$3,Registro!$F:$F,$A12)=0,"",SUMIFS(Registro!$J:$J,Registro!$A:$A,AN$3,Registro!$F:$F,$A12))</f>
        <v/>
      </c>
    </row>
    <row r="13" customFormat="false" ht="15" hidden="false" customHeight="false" outlineLevel="0" collapsed="false">
      <c r="A13" s="22" t="str">
        <f aca="false">Jugadores!$B$13</f>
        <v>Jugador 9</v>
      </c>
      <c r="B13" s="17" t="str">
        <f aca="false">IF(SUMIFS(Registro!$J:$J,Registro!$A:$A,B$3,Registro!$F:$F,$A13)=0,"",SUMIFS(Registro!$J:$J,Registro!$A:$A,B$3,Registro!$F:$F,$A13))</f>
        <v/>
      </c>
      <c r="C13" s="17" t="str">
        <f aca="false">IF(SUMIFS(Registro!$J:$J,Registro!$A:$A,C$3,Registro!$F:$F,$A13)=0,"",SUMIFS(Registro!$J:$J,Registro!$A:$A,C$3,Registro!$F:$F,$A13))</f>
        <v/>
      </c>
      <c r="D13" s="17" t="str">
        <f aca="false">IF(SUMIFS(Registro!$J:$J,Registro!$A:$A,D$3,Registro!$F:$F,$A13)=0,"",SUMIFS(Registro!$J:$J,Registro!$A:$A,D$3,Registro!$F:$F,$A13))</f>
        <v/>
      </c>
      <c r="E13" s="17" t="str">
        <f aca="false">IF(SUMIFS(Registro!$J:$J,Registro!$A:$A,E$3,Registro!$F:$F,$A13)=0,"",SUMIFS(Registro!$J:$J,Registro!$A:$A,E$3,Registro!$F:$F,$A13))</f>
        <v/>
      </c>
      <c r="F13" s="17" t="str">
        <f aca="false">IF(SUMIFS(Registro!$J:$J,Registro!$A:$A,F$3,Registro!$F:$F,$A13)=0,"",SUMIFS(Registro!$J:$J,Registro!$A:$A,F$3,Registro!$F:$F,$A13))</f>
        <v/>
      </c>
      <c r="G13" s="17" t="str">
        <f aca="false">IF(SUMIFS(Registro!$J:$J,Registro!$A:$A,G$3,Registro!$F:$F,$A13)=0,"",SUMIFS(Registro!$J:$J,Registro!$A:$A,G$3,Registro!$F:$F,$A13))</f>
        <v/>
      </c>
      <c r="H13" s="17" t="str">
        <f aca="false">IF(SUMIFS(Registro!$J:$J,Registro!$A:$A,H$3,Registro!$F:$F,$A13)=0,"",SUMIFS(Registro!$J:$J,Registro!$A:$A,H$3,Registro!$F:$F,$A13))</f>
        <v/>
      </c>
      <c r="I13" s="17" t="str">
        <f aca="false">IF(SUMIFS(Registro!$J:$J,Registro!$A:$A,I$3,Registro!$F:$F,$A13)=0,"",SUMIFS(Registro!$J:$J,Registro!$A:$A,I$3,Registro!$F:$F,$A13))</f>
        <v/>
      </c>
      <c r="J13" s="17" t="str">
        <f aca="false">IF(SUMIFS(Registro!$J:$J,Registro!$A:$A,J$3,Registro!$F:$F,$A13)=0,"",SUMIFS(Registro!$J:$J,Registro!$A:$A,J$3,Registro!$F:$F,$A13))</f>
        <v/>
      </c>
      <c r="K13" s="17" t="str">
        <f aca="false">IF(SUMIFS(Registro!$J:$J,Registro!$A:$A,K$3,Registro!$F:$F,$A13)=0,"",SUMIFS(Registro!$J:$J,Registro!$A:$A,K$3,Registro!$F:$F,$A13))</f>
        <v/>
      </c>
      <c r="L13" s="17" t="str">
        <f aca="false">IF(SUMIFS(Registro!$J:$J,Registro!$A:$A,L$3,Registro!$F:$F,$A13)=0,"",SUMIFS(Registro!$J:$J,Registro!$A:$A,L$3,Registro!$F:$F,$A13))</f>
        <v/>
      </c>
      <c r="M13" s="17" t="str">
        <f aca="false">IF(SUMIFS(Registro!$J:$J,Registro!$A:$A,M$3,Registro!$F:$F,$A13)=0,"",SUMIFS(Registro!$J:$J,Registro!$A:$A,M$3,Registro!$F:$F,$A13))</f>
        <v/>
      </c>
      <c r="N13" s="17" t="str">
        <f aca="false">IF(SUMIFS(Registro!$J:$J,Registro!$A:$A,N$3,Registro!$F:$F,$A13)=0,"",SUMIFS(Registro!$J:$J,Registro!$A:$A,N$3,Registro!$F:$F,$A13))</f>
        <v/>
      </c>
      <c r="O13" s="17" t="str">
        <f aca="false">IF(SUMIFS(Registro!$J:$J,Registro!$A:$A,O$3,Registro!$F:$F,$A13)=0,"",SUMIFS(Registro!$J:$J,Registro!$A:$A,O$3,Registro!$F:$F,$A13))</f>
        <v/>
      </c>
      <c r="P13" s="17" t="str">
        <f aca="false">IF(SUMIFS(Registro!$J:$J,Registro!$A:$A,P$3,Registro!$F:$F,$A13)=0,"",SUMIFS(Registro!$J:$J,Registro!$A:$A,P$3,Registro!$F:$F,$A13))</f>
        <v/>
      </c>
      <c r="Q13" s="17" t="str">
        <f aca="false">IF(SUMIFS(Registro!$J:$J,Registro!$A:$A,Q$3,Registro!$F:$F,$A13)=0,"",SUMIFS(Registro!$J:$J,Registro!$A:$A,Q$3,Registro!$F:$F,$A13))</f>
        <v/>
      </c>
      <c r="R13" s="17" t="str">
        <f aca="false">IF(SUMIFS(Registro!$J:$J,Registro!$A:$A,R$3,Registro!$F:$F,$A13)=0,"",SUMIFS(Registro!$J:$J,Registro!$A:$A,R$3,Registro!$F:$F,$A13))</f>
        <v/>
      </c>
      <c r="S13" s="17" t="str">
        <f aca="false">IF(SUMIFS(Registro!$J:$J,Registro!$A:$A,S$3,Registro!$F:$F,$A13)=0,"",SUMIFS(Registro!$J:$J,Registro!$A:$A,S$3,Registro!$F:$F,$A13))</f>
        <v/>
      </c>
      <c r="T13" s="17" t="str">
        <f aca="false">IF(SUMIFS(Registro!$J:$J,Registro!$A:$A,T$3,Registro!$F:$F,$A13)=0,"",SUMIFS(Registro!$J:$J,Registro!$A:$A,T$3,Registro!$F:$F,$A13))</f>
        <v/>
      </c>
      <c r="U13" s="17" t="str">
        <f aca="false">IF(SUMIFS(Registro!$J:$J,Registro!$A:$A,U$3,Registro!$F:$F,$A13)=0,"",SUMIFS(Registro!$J:$J,Registro!$A:$A,U$3,Registro!$F:$F,$A13))</f>
        <v/>
      </c>
      <c r="V13" s="17" t="str">
        <f aca="false">IF(SUMIFS(Registro!$J:$J,Registro!$A:$A,V$3,Registro!$F:$F,$A13)=0,"",SUMIFS(Registro!$J:$J,Registro!$A:$A,V$3,Registro!$F:$F,$A13))</f>
        <v/>
      </c>
      <c r="W13" s="17" t="str">
        <f aca="false">IF(SUMIFS(Registro!$J:$J,Registro!$A:$A,W$3,Registro!$F:$F,$A13)=0,"",SUMIFS(Registro!$J:$J,Registro!$A:$A,W$3,Registro!$F:$F,$A13))</f>
        <v/>
      </c>
      <c r="X13" s="17" t="str">
        <f aca="false">IF(SUMIFS(Registro!$J:$J,Registro!$A:$A,X$3,Registro!$F:$F,$A13)=0,"",SUMIFS(Registro!$J:$J,Registro!$A:$A,X$3,Registro!$F:$F,$A13))</f>
        <v/>
      </c>
      <c r="Y13" s="17" t="str">
        <f aca="false">IF(SUMIFS(Registro!$J:$J,Registro!$A:$A,Y$3,Registro!$F:$F,$A13)=0,"",SUMIFS(Registro!$J:$J,Registro!$A:$A,Y$3,Registro!$F:$F,$A13))</f>
        <v/>
      </c>
      <c r="Z13" s="17" t="str">
        <f aca="false">IF(SUMIFS(Registro!$J:$J,Registro!$A:$A,Z$3,Registro!$F:$F,$A13)=0,"",SUMIFS(Registro!$J:$J,Registro!$A:$A,Z$3,Registro!$F:$F,$A13))</f>
        <v/>
      </c>
      <c r="AA13" s="17" t="str">
        <f aca="false">IF(SUMIFS(Registro!$J:$J,Registro!$A:$A,AA$3,Registro!$F:$F,$A13)=0,"",SUMIFS(Registro!$J:$J,Registro!$A:$A,AA$3,Registro!$F:$F,$A13))</f>
        <v/>
      </c>
      <c r="AB13" s="17" t="str">
        <f aca="false">IF(SUMIFS(Registro!$J:$J,Registro!$A:$A,AB$3,Registro!$F:$F,$A13)=0,"",SUMIFS(Registro!$J:$J,Registro!$A:$A,AB$3,Registro!$F:$F,$A13))</f>
        <v/>
      </c>
      <c r="AC13" s="17" t="str">
        <f aca="false">IF(SUMIFS(Registro!$J:$J,Registro!$A:$A,AC$3,Registro!$F:$F,$A13)=0,"",SUMIFS(Registro!$J:$J,Registro!$A:$A,AC$3,Registro!$F:$F,$A13))</f>
        <v/>
      </c>
      <c r="AD13" s="17" t="str">
        <f aca="false">IF(SUMIFS(Registro!$J:$J,Registro!$A:$A,AD$3,Registro!$F:$F,$A13)=0,"",SUMIFS(Registro!$J:$J,Registro!$A:$A,AD$3,Registro!$F:$F,$A13))</f>
        <v/>
      </c>
      <c r="AE13" s="17" t="str">
        <f aca="false">IF(SUMIFS(Registro!$J:$J,Registro!$A:$A,AE$3,Registro!$F:$F,$A13)=0,"",SUMIFS(Registro!$J:$J,Registro!$A:$A,AE$3,Registro!$F:$F,$A13))</f>
        <v/>
      </c>
      <c r="AF13" s="17" t="str">
        <f aca="false">IF(SUMIFS(Registro!$J:$J,Registro!$A:$A,AF$3,Registro!$F:$F,$A13)=0,"",SUMIFS(Registro!$J:$J,Registro!$A:$A,AF$3,Registro!$F:$F,$A13))</f>
        <v/>
      </c>
      <c r="AG13" s="17" t="str">
        <f aca="false">IF(SUMIFS(Registro!$J:$J,Registro!$A:$A,AG$3,Registro!$F:$F,$A13)=0,"",SUMIFS(Registro!$J:$J,Registro!$A:$A,AG$3,Registro!$F:$F,$A13))</f>
        <v/>
      </c>
      <c r="AH13" s="17" t="str">
        <f aca="false">IF(SUMIFS(Registro!$J:$J,Registro!$A:$A,AH$3,Registro!$F:$F,$A13)=0,"",SUMIFS(Registro!$J:$J,Registro!$A:$A,AH$3,Registro!$F:$F,$A13))</f>
        <v/>
      </c>
      <c r="AI13" s="17" t="str">
        <f aca="false">IF(SUMIFS(Registro!$J:$J,Registro!$A:$A,AI$3,Registro!$F:$F,$A13)=0,"",SUMIFS(Registro!$J:$J,Registro!$A:$A,AI$3,Registro!$F:$F,$A13))</f>
        <v/>
      </c>
      <c r="AJ13" s="17" t="str">
        <f aca="false">IF(SUMIFS(Registro!$J:$J,Registro!$A:$A,AJ$3,Registro!$F:$F,$A13)=0,"",SUMIFS(Registro!$J:$J,Registro!$A:$A,AJ$3,Registro!$F:$F,$A13))</f>
        <v/>
      </c>
      <c r="AK13" s="17" t="str">
        <f aca="false">IF(SUMIFS(Registro!$J:$J,Registro!$A:$A,AK$3,Registro!$F:$F,$A13)=0,"",SUMIFS(Registro!$J:$J,Registro!$A:$A,AK$3,Registro!$F:$F,$A13))</f>
        <v/>
      </c>
      <c r="AL13" s="17" t="str">
        <f aca="false">IF(SUMIFS(Registro!$J:$J,Registro!$A:$A,AL$3,Registro!$F:$F,$A13)=0,"",SUMIFS(Registro!$J:$J,Registro!$A:$A,AL$3,Registro!$F:$F,$A13))</f>
        <v/>
      </c>
      <c r="AM13" s="17" t="str">
        <f aca="false">IF(SUMIFS(Registro!$J:$J,Registro!$A:$A,AM$3,Registro!$F:$F,$A13)=0,"",SUMIFS(Registro!$J:$J,Registro!$A:$A,AM$3,Registro!$F:$F,$A13))</f>
        <v/>
      </c>
      <c r="AN13" s="17" t="str">
        <f aca="false">IF(SUMIFS(Registro!$J:$J,Registro!$A:$A,AN$3,Registro!$F:$F,$A13)=0,"",SUMIFS(Registro!$J:$J,Registro!$A:$A,AN$3,Registro!$F:$F,$A13))</f>
        <v/>
      </c>
    </row>
    <row r="14" customFormat="false" ht="15" hidden="false" customHeight="false" outlineLevel="0" collapsed="false">
      <c r="A14" s="22" t="str">
        <f aca="false">Jugadores!$B$14</f>
        <v>Jugador 10</v>
      </c>
      <c r="B14" s="17" t="str">
        <f aca="false">IF(SUMIFS(Registro!$J:$J,Registro!$A:$A,B$3,Registro!$F:$F,$A14)=0,"",SUMIFS(Registro!$J:$J,Registro!$A:$A,B$3,Registro!$F:$F,$A14))</f>
        <v/>
      </c>
      <c r="C14" s="17" t="str">
        <f aca="false">IF(SUMIFS(Registro!$J:$J,Registro!$A:$A,C$3,Registro!$F:$F,$A14)=0,"",SUMIFS(Registro!$J:$J,Registro!$A:$A,C$3,Registro!$F:$F,$A14))</f>
        <v/>
      </c>
      <c r="D14" s="17" t="str">
        <f aca="false">IF(SUMIFS(Registro!$J:$J,Registro!$A:$A,D$3,Registro!$F:$F,$A14)=0,"",SUMIFS(Registro!$J:$J,Registro!$A:$A,D$3,Registro!$F:$F,$A14))</f>
        <v/>
      </c>
      <c r="E14" s="17" t="str">
        <f aca="false">IF(SUMIFS(Registro!$J:$J,Registro!$A:$A,E$3,Registro!$F:$F,$A14)=0,"",SUMIFS(Registro!$J:$J,Registro!$A:$A,E$3,Registro!$F:$F,$A14))</f>
        <v/>
      </c>
      <c r="F14" s="17" t="str">
        <f aca="false">IF(SUMIFS(Registro!$J:$J,Registro!$A:$A,F$3,Registro!$F:$F,$A14)=0,"",SUMIFS(Registro!$J:$J,Registro!$A:$A,F$3,Registro!$F:$F,$A14))</f>
        <v/>
      </c>
      <c r="G14" s="17" t="str">
        <f aca="false">IF(SUMIFS(Registro!$J:$J,Registro!$A:$A,G$3,Registro!$F:$F,$A14)=0,"",SUMIFS(Registro!$J:$J,Registro!$A:$A,G$3,Registro!$F:$F,$A14))</f>
        <v/>
      </c>
      <c r="H14" s="17" t="str">
        <f aca="false">IF(SUMIFS(Registro!$J:$J,Registro!$A:$A,H$3,Registro!$F:$F,$A14)=0,"",SUMIFS(Registro!$J:$J,Registro!$A:$A,H$3,Registro!$F:$F,$A14))</f>
        <v/>
      </c>
      <c r="I14" s="17" t="str">
        <f aca="false">IF(SUMIFS(Registro!$J:$J,Registro!$A:$A,I$3,Registro!$F:$F,$A14)=0,"",SUMIFS(Registro!$J:$J,Registro!$A:$A,I$3,Registro!$F:$F,$A14))</f>
        <v/>
      </c>
      <c r="J14" s="17" t="str">
        <f aca="false">IF(SUMIFS(Registro!$J:$J,Registro!$A:$A,J$3,Registro!$F:$F,$A14)=0,"",SUMIFS(Registro!$J:$J,Registro!$A:$A,J$3,Registro!$F:$F,$A14))</f>
        <v/>
      </c>
      <c r="K14" s="17" t="str">
        <f aca="false">IF(SUMIFS(Registro!$J:$J,Registro!$A:$A,K$3,Registro!$F:$F,$A14)=0,"",SUMIFS(Registro!$J:$J,Registro!$A:$A,K$3,Registro!$F:$F,$A14))</f>
        <v/>
      </c>
      <c r="L14" s="17" t="str">
        <f aca="false">IF(SUMIFS(Registro!$J:$J,Registro!$A:$A,L$3,Registro!$F:$F,$A14)=0,"",SUMIFS(Registro!$J:$J,Registro!$A:$A,L$3,Registro!$F:$F,$A14))</f>
        <v/>
      </c>
      <c r="M14" s="17" t="str">
        <f aca="false">IF(SUMIFS(Registro!$J:$J,Registro!$A:$A,M$3,Registro!$F:$F,$A14)=0,"",SUMIFS(Registro!$J:$J,Registro!$A:$A,M$3,Registro!$F:$F,$A14))</f>
        <v/>
      </c>
      <c r="N14" s="17" t="str">
        <f aca="false">IF(SUMIFS(Registro!$J:$J,Registro!$A:$A,N$3,Registro!$F:$F,$A14)=0,"",SUMIFS(Registro!$J:$J,Registro!$A:$A,N$3,Registro!$F:$F,$A14))</f>
        <v/>
      </c>
      <c r="O14" s="17" t="str">
        <f aca="false">IF(SUMIFS(Registro!$J:$J,Registro!$A:$A,O$3,Registro!$F:$F,$A14)=0,"",SUMIFS(Registro!$J:$J,Registro!$A:$A,O$3,Registro!$F:$F,$A14))</f>
        <v/>
      </c>
      <c r="P14" s="17" t="str">
        <f aca="false">IF(SUMIFS(Registro!$J:$J,Registro!$A:$A,P$3,Registro!$F:$F,$A14)=0,"",SUMIFS(Registro!$J:$J,Registro!$A:$A,P$3,Registro!$F:$F,$A14))</f>
        <v/>
      </c>
      <c r="Q14" s="17" t="str">
        <f aca="false">IF(SUMIFS(Registro!$J:$J,Registro!$A:$A,Q$3,Registro!$F:$F,$A14)=0,"",SUMIFS(Registro!$J:$J,Registro!$A:$A,Q$3,Registro!$F:$F,$A14))</f>
        <v/>
      </c>
      <c r="R14" s="17" t="str">
        <f aca="false">IF(SUMIFS(Registro!$J:$J,Registro!$A:$A,R$3,Registro!$F:$F,$A14)=0,"",SUMIFS(Registro!$J:$J,Registro!$A:$A,R$3,Registro!$F:$F,$A14))</f>
        <v/>
      </c>
      <c r="S14" s="17" t="str">
        <f aca="false">IF(SUMIFS(Registro!$J:$J,Registro!$A:$A,S$3,Registro!$F:$F,$A14)=0,"",SUMIFS(Registro!$J:$J,Registro!$A:$A,S$3,Registro!$F:$F,$A14))</f>
        <v/>
      </c>
      <c r="T14" s="17" t="str">
        <f aca="false">IF(SUMIFS(Registro!$J:$J,Registro!$A:$A,T$3,Registro!$F:$F,$A14)=0,"",SUMIFS(Registro!$J:$J,Registro!$A:$A,T$3,Registro!$F:$F,$A14))</f>
        <v/>
      </c>
      <c r="U14" s="17" t="str">
        <f aca="false">IF(SUMIFS(Registro!$J:$J,Registro!$A:$A,U$3,Registro!$F:$F,$A14)=0,"",SUMIFS(Registro!$J:$J,Registro!$A:$A,U$3,Registro!$F:$F,$A14))</f>
        <v/>
      </c>
      <c r="V14" s="17" t="str">
        <f aca="false">IF(SUMIFS(Registro!$J:$J,Registro!$A:$A,V$3,Registro!$F:$F,$A14)=0,"",SUMIFS(Registro!$J:$J,Registro!$A:$A,V$3,Registro!$F:$F,$A14))</f>
        <v/>
      </c>
      <c r="W14" s="17" t="str">
        <f aca="false">IF(SUMIFS(Registro!$J:$J,Registro!$A:$A,W$3,Registro!$F:$F,$A14)=0,"",SUMIFS(Registro!$J:$J,Registro!$A:$A,W$3,Registro!$F:$F,$A14))</f>
        <v/>
      </c>
      <c r="X14" s="17" t="str">
        <f aca="false">IF(SUMIFS(Registro!$J:$J,Registro!$A:$A,X$3,Registro!$F:$F,$A14)=0,"",SUMIFS(Registro!$J:$J,Registro!$A:$A,X$3,Registro!$F:$F,$A14))</f>
        <v/>
      </c>
      <c r="Y14" s="17" t="str">
        <f aca="false">IF(SUMIFS(Registro!$J:$J,Registro!$A:$A,Y$3,Registro!$F:$F,$A14)=0,"",SUMIFS(Registro!$J:$J,Registro!$A:$A,Y$3,Registro!$F:$F,$A14))</f>
        <v/>
      </c>
      <c r="Z14" s="17" t="str">
        <f aca="false">IF(SUMIFS(Registro!$J:$J,Registro!$A:$A,Z$3,Registro!$F:$F,$A14)=0,"",SUMIFS(Registro!$J:$J,Registro!$A:$A,Z$3,Registro!$F:$F,$A14))</f>
        <v/>
      </c>
      <c r="AA14" s="17" t="str">
        <f aca="false">IF(SUMIFS(Registro!$J:$J,Registro!$A:$A,AA$3,Registro!$F:$F,$A14)=0,"",SUMIFS(Registro!$J:$J,Registro!$A:$A,AA$3,Registro!$F:$F,$A14))</f>
        <v/>
      </c>
      <c r="AB14" s="17" t="str">
        <f aca="false">IF(SUMIFS(Registro!$J:$J,Registro!$A:$A,AB$3,Registro!$F:$F,$A14)=0,"",SUMIFS(Registro!$J:$J,Registro!$A:$A,AB$3,Registro!$F:$F,$A14))</f>
        <v/>
      </c>
      <c r="AC14" s="17" t="str">
        <f aca="false">IF(SUMIFS(Registro!$J:$J,Registro!$A:$A,AC$3,Registro!$F:$F,$A14)=0,"",SUMIFS(Registro!$J:$J,Registro!$A:$A,AC$3,Registro!$F:$F,$A14))</f>
        <v/>
      </c>
      <c r="AD14" s="17" t="str">
        <f aca="false">IF(SUMIFS(Registro!$J:$J,Registro!$A:$A,AD$3,Registro!$F:$F,$A14)=0,"",SUMIFS(Registro!$J:$J,Registro!$A:$A,AD$3,Registro!$F:$F,$A14))</f>
        <v/>
      </c>
      <c r="AE14" s="17" t="str">
        <f aca="false">IF(SUMIFS(Registro!$J:$J,Registro!$A:$A,AE$3,Registro!$F:$F,$A14)=0,"",SUMIFS(Registro!$J:$J,Registro!$A:$A,AE$3,Registro!$F:$F,$A14))</f>
        <v/>
      </c>
      <c r="AF14" s="17" t="str">
        <f aca="false">IF(SUMIFS(Registro!$J:$J,Registro!$A:$A,AF$3,Registro!$F:$F,$A14)=0,"",SUMIFS(Registro!$J:$J,Registro!$A:$A,AF$3,Registro!$F:$F,$A14))</f>
        <v/>
      </c>
      <c r="AG14" s="17" t="str">
        <f aca="false">IF(SUMIFS(Registro!$J:$J,Registro!$A:$A,AG$3,Registro!$F:$F,$A14)=0,"",SUMIFS(Registro!$J:$J,Registro!$A:$A,AG$3,Registro!$F:$F,$A14))</f>
        <v/>
      </c>
      <c r="AH14" s="17" t="str">
        <f aca="false">IF(SUMIFS(Registro!$J:$J,Registro!$A:$A,AH$3,Registro!$F:$F,$A14)=0,"",SUMIFS(Registro!$J:$J,Registro!$A:$A,AH$3,Registro!$F:$F,$A14))</f>
        <v/>
      </c>
      <c r="AI14" s="17" t="str">
        <f aca="false">IF(SUMIFS(Registro!$J:$J,Registro!$A:$A,AI$3,Registro!$F:$F,$A14)=0,"",SUMIFS(Registro!$J:$J,Registro!$A:$A,AI$3,Registro!$F:$F,$A14))</f>
        <v/>
      </c>
      <c r="AJ14" s="17" t="str">
        <f aca="false">IF(SUMIFS(Registro!$J:$J,Registro!$A:$A,AJ$3,Registro!$F:$F,$A14)=0,"",SUMIFS(Registro!$J:$J,Registro!$A:$A,AJ$3,Registro!$F:$F,$A14))</f>
        <v/>
      </c>
      <c r="AK14" s="17" t="str">
        <f aca="false">IF(SUMIFS(Registro!$J:$J,Registro!$A:$A,AK$3,Registro!$F:$F,$A14)=0,"",SUMIFS(Registro!$J:$J,Registro!$A:$A,AK$3,Registro!$F:$F,$A14))</f>
        <v/>
      </c>
      <c r="AL14" s="17" t="str">
        <f aca="false">IF(SUMIFS(Registro!$J:$J,Registro!$A:$A,AL$3,Registro!$F:$F,$A14)=0,"",SUMIFS(Registro!$J:$J,Registro!$A:$A,AL$3,Registro!$F:$F,$A14))</f>
        <v/>
      </c>
      <c r="AM14" s="17" t="str">
        <f aca="false">IF(SUMIFS(Registro!$J:$J,Registro!$A:$A,AM$3,Registro!$F:$F,$A14)=0,"",SUMIFS(Registro!$J:$J,Registro!$A:$A,AM$3,Registro!$F:$F,$A14))</f>
        <v/>
      </c>
      <c r="AN14" s="17" t="str">
        <f aca="false">IF(SUMIFS(Registro!$J:$J,Registro!$A:$A,AN$3,Registro!$F:$F,$A14)=0,"",SUMIFS(Registro!$J:$J,Registro!$A:$A,AN$3,Registro!$F:$F,$A14))</f>
        <v/>
      </c>
    </row>
    <row r="15" customFormat="false" ht="15" hidden="false" customHeight="false" outlineLevel="0" collapsed="false">
      <c r="A15" s="22" t="str">
        <f aca="false">Jugadores!$B$15</f>
        <v>Jugador 11</v>
      </c>
      <c r="B15" s="17" t="str">
        <f aca="false">IF(SUMIFS(Registro!$J:$J,Registro!$A:$A,B$3,Registro!$F:$F,$A15)=0,"",SUMIFS(Registro!$J:$J,Registro!$A:$A,B$3,Registro!$F:$F,$A15))</f>
        <v/>
      </c>
      <c r="C15" s="17" t="str">
        <f aca="false">IF(SUMIFS(Registro!$J:$J,Registro!$A:$A,C$3,Registro!$F:$F,$A15)=0,"",SUMIFS(Registro!$J:$J,Registro!$A:$A,C$3,Registro!$F:$F,$A15))</f>
        <v/>
      </c>
      <c r="D15" s="17" t="str">
        <f aca="false">IF(SUMIFS(Registro!$J:$J,Registro!$A:$A,D$3,Registro!$F:$F,$A15)=0,"",SUMIFS(Registro!$J:$J,Registro!$A:$A,D$3,Registro!$F:$F,$A15))</f>
        <v/>
      </c>
      <c r="E15" s="17" t="str">
        <f aca="false">IF(SUMIFS(Registro!$J:$J,Registro!$A:$A,E$3,Registro!$F:$F,$A15)=0,"",SUMIFS(Registro!$J:$J,Registro!$A:$A,E$3,Registro!$F:$F,$A15))</f>
        <v/>
      </c>
      <c r="F15" s="17" t="str">
        <f aca="false">IF(SUMIFS(Registro!$J:$J,Registro!$A:$A,F$3,Registro!$F:$F,$A15)=0,"",SUMIFS(Registro!$J:$J,Registro!$A:$A,F$3,Registro!$F:$F,$A15))</f>
        <v/>
      </c>
      <c r="G15" s="17" t="str">
        <f aca="false">IF(SUMIFS(Registro!$J:$J,Registro!$A:$A,G$3,Registro!$F:$F,$A15)=0,"",SUMIFS(Registro!$J:$J,Registro!$A:$A,G$3,Registro!$F:$F,$A15))</f>
        <v/>
      </c>
      <c r="H15" s="17" t="str">
        <f aca="false">IF(SUMIFS(Registro!$J:$J,Registro!$A:$A,H$3,Registro!$F:$F,$A15)=0,"",SUMIFS(Registro!$J:$J,Registro!$A:$A,H$3,Registro!$F:$F,$A15))</f>
        <v/>
      </c>
      <c r="I15" s="17" t="str">
        <f aca="false">IF(SUMIFS(Registro!$J:$J,Registro!$A:$A,I$3,Registro!$F:$F,$A15)=0,"",SUMIFS(Registro!$J:$J,Registro!$A:$A,I$3,Registro!$F:$F,$A15))</f>
        <v/>
      </c>
      <c r="J15" s="17" t="str">
        <f aca="false">IF(SUMIFS(Registro!$J:$J,Registro!$A:$A,J$3,Registro!$F:$F,$A15)=0,"",SUMIFS(Registro!$J:$J,Registro!$A:$A,J$3,Registro!$F:$F,$A15))</f>
        <v/>
      </c>
      <c r="K15" s="17" t="str">
        <f aca="false">IF(SUMIFS(Registro!$J:$J,Registro!$A:$A,K$3,Registro!$F:$F,$A15)=0,"",SUMIFS(Registro!$J:$J,Registro!$A:$A,K$3,Registro!$F:$F,$A15))</f>
        <v/>
      </c>
      <c r="L15" s="17" t="str">
        <f aca="false">IF(SUMIFS(Registro!$J:$J,Registro!$A:$A,L$3,Registro!$F:$F,$A15)=0,"",SUMIFS(Registro!$J:$J,Registro!$A:$A,L$3,Registro!$F:$F,$A15))</f>
        <v/>
      </c>
      <c r="M15" s="17" t="str">
        <f aca="false">IF(SUMIFS(Registro!$J:$J,Registro!$A:$A,M$3,Registro!$F:$F,$A15)=0,"",SUMIFS(Registro!$J:$J,Registro!$A:$A,M$3,Registro!$F:$F,$A15))</f>
        <v/>
      </c>
      <c r="N15" s="17" t="str">
        <f aca="false">IF(SUMIFS(Registro!$J:$J,Registro!$A:$A,N$3,Registro!$F:$F,$A15)=0,"",SUMIFS(Registro!$J:$J,Registro!$A:$A,N$3,Registro!$F:$F,$A15))</f>
        <v/>
      </c>
      <c r="O15" s="17" t="str">
        <f aca="false">IF(SUMIFS(Registro!$J:$J,Registro!$A:$A,O$3,Registro!$F:$F,$A15)=0,"",SUMIFS(Registro!$J:$J,Registro!$A:$A,O$3,Registro!$F:$F,$A15))</f>
        <v/>
      </c>
      <c r="P15" s="17" t="str">
        <f aca="false">IF(SUMIFS(Registro!$J:$J,Registro!$A:$A,P$3,Registro!$F:$F,$A15)=0,"",SUMIFS(Registro!$J:$J,Registro!$A:$A,P$3,Registro!$F:$F,$A15))</f>
        <v/>
      </c>
      <c r="Q15" s="17" t="str">
        <f aca="false">IF(SUMIFS(Registro!$J:$J,Registro!$A:$A,Q$3,Registro!$F:$F,$A15)=0,"",SUMIFS(Registro!$J:$J,Registro!$A:$A,Q$3,Registro!$F:$F,$A15))</f>
        <v/>
      </c>
      <c r="R15" s="17" t="str">
        <f aca="false">IF(SUMIFS(Registro!$J:$J,Registro!$A:$A,R$3,Registro!$F:$F,$A15)=0,"",SUMIFS(Registro!$J:$J,Registro!$A:$A,R$3,Registro!$F:$F,$A15))</f>
        <v/>
      </c>
      <c r="S15" s="17" t="str">
        <f aca="false">IF(SUMIFS(Registro!$J:$J,Registro!$A:$A,S$3,Registro!$F:$F,$A15)=0,"",SUMIFS(Registro!$J:$J,Registro!$A:$A,S$3,Registro!$F:$F,$A15))</f>
        <v/>
      </c>
      <c r="T15" s="17" t="str">
        <f aca="false">IF(SUMIFS(Registro!$J:$J,Registro!$A:$A,T$3,Registro!$F:$F,$A15)=0,"",SUMIFS(Registro!$J:$J,Registro!$A:$A,T$3,Registro!$F:$F,$A15))</f>
        <v/>
      </c>
      <c r="U15" s="17" t="str">
        <f aca="false">IF(SUMIFS(Registro!$J:$J,Registro!$A:$A,U$3,Registro!$F:$F,$A15)=0,"",SUMIFS(Registro!$J:$J,Registro!$A:$A,U$3,Registro!$F:$F,$A15))</f>
        <v/>
      </c>
      <c r="V15" s="17" t="str">
        <f aca="false">IF(SUMIFS(Registro!$J:$J,Registro!$A:$A,V$3,Registro!$F:$F,$A15)=0,"",SUMIFS(Registro!$J:$J,Registro!$A:$A,V$3,Registro!$F:$F,$A15))</f>
        <v/>
      </c>
      <c r="W15" s="17" t="str">
        <f aca="false">IF(SUMIFS(Registro!$J:$J,Registro!$A:$A,W$3,Registro!$F:$F,$A15)=0,"",SUMIFS(Registro!$J:$J,Registro!$A:$A,W$3,Registro!$F:$F,$A15))</f>
        <v/>
      </c>
      <c r="X15" s="17" t="str">
        <f aca="false">IF(SUMIFS(Registro!$J:$J,Registro!$A:$A,X$3,Registro!$F:$F,$A15)=0,"",SUMIFS(Registro!$J:$J,Registro!$A:$A,X$3,Registro!$F:$F,$A15))</f>
        <v/>
      </c>
      <c r="Y15" s="17" t="str">
        <f aca="false">IF(SUMIFS(Registro!$J:$J,Registro!$A:$A,Y$3,Registro!$F:$F,$A15)=0,"",SUMIFS(Registro!$J:$J,Registro!$A:$A,Y$3,Registro!$F:$F,$A15))</f>
        <v/>
      </c>
      <c r="Z15" s="17" t="str">
        <f aca="false">IF(SUMIFS(Registro!$J:$J,Registro!$A:$A,Z$3,Registro!$F:$F,$A15)=0,"",SUMIFS(Registro!$J:$J,Registro!$A:$A,Z$3,Registro!$F:$F,$A15))</f>
        <v/>
      </c>
      <c r="AA15" s="17" t="str">
        <f aca="false">IF(SUMIFS(Registro!$J:$J,Registro!$A:$A,AA$3,Registro!$F:$F,$A15)=0,"",SUMIFS(Registro!$J:$J,Registro!$A:$A,AA$3,Registro!$F:$F,$A15))</f>
        <v/>
      </c>
      <c r="AB15" s="17" t="str">
        <f aca="false">IF(SUMIFS(Registro!$J:$J,Registro!$A:$A,AB$3,Registro!$F:$F,$A15)=0,"",SUMIFS(Registro!$J:$J,Registro!$A:$A,AB$3,Registro!$F:$F,$A15))</f>
        <v/>
      </c>
      <c r="AC15" s="17" t="str">
        <f aca="false">IF(SUMIFS(Registro!$J:$J,Registro!$A:$A,AC$3,Registro!$F:$F,$A15)=0,"",SUMIFS(Registro!$J:$J,Registro!$A:$A,AC$3,Registro!$F:$F,$A15))</f>
        <v/>
      </c>
      <c r="AD15" s="17" t="str">
        <f aca="false">IF(SUMIFS(Registro!$J:$J,Registro!$A:$A,AD$3,Registro!$F:$F,$A15)=0,"",SUMIFS(Registro!$J:$J,Registro!$A:$A,AD$3,Registro!$F:$F,$A15))</f>
        <v/>
      </c>
      <c r="AE15" s="17" t="str">
        <f aca="false">IF(SUMIFS(Registro!$J:$J,Registro!$A:$A,AE$3,Registro!$F:$F,$A15)=0,"",SUMIFS(Registro!$J:$J,Registro!$A:$A,AE$3,Registro!$F:$F,$A15))</f>
        <v/>
      </c>
      <c r="AF15" s="17" t="str">
        <f aca="false">IF(SUMIFS(Registro!$J:$J,Registro!$A:$A,AF$3,Registro!$F:$F,$A15)=0,"",SUMIFS(Registro!$J:$J,Registro!$A:$A,AF$3,Registro!$F:$F,$A15))</f>
        <v/>
      </c>
      <c r="AG15" s="17" t="str">
        <f aca="false">IF(SUMIFS(Registro!$J:$J,Registro!$A:$A,AG$3,Registro!$F:$F,$A15)=0,"",SUMIFS(Registro!$J:$J,Registro!$A:$A,AG$3,Registro!$F:$F,$A15))</f>
        <v/>
      </c>
      <c r="AH15" s="17" t="str">
        <f aca="false">IF(SUMIFS(Registro!$J:$J,Registro!$A:$A,AH$3,Registro!$F:$F,$A15)=0,"",SUMIFS(Registro!$J:$J,Registro!$A:$A,AH$3,Registro!$F:$F,$A15))</f>
        <v/>
      </c>
      <c r="AI15" s="17" t="str">
        <f aca="false">IF(SUMIFS(Registro!$J:$J,Registro!$A:$A,AI$3,Registro!$F:$F,$A15)=0,"",SUMIFS(Registro!$J:$J,Registro!$A:$A,AI$3,Registro!$F:$F,$A15))</f>
        <v/>
      </c>
      <c r="AJ15" s="17" t="str">
        <f aca="false">IF(SUMIFS(Registro!$J:$J,Registro!$A:$A,AJ$3,Registro!$F:$F,$A15)=0,"",SUMIFS(Registro!$J:$J,Registro!$A:$A,AJ$3,Registro!$F:$F,$A15))</f>
        <v/>
      </c>
      <c r="AK15" s="17" t="str">
        <f aca="false">IF(SUMIFS(Registro!$J:$J,Registro!$A:$A,AK$3,Registro!$F:$F,$A15)=0,"",SUMIFS(Registro!$J:$J,Registro!$A:$A,AK$3,Registro!$F:$F,$A15))</f>
        <v/>
      </c>
      <c r="AL15" s="17" t="str">
        <f aca="false">IF(SUMIFS(Registro!$J:$J,Registro!$A:$A,AL$3,Registro!$F:$F,$A15)=0,"",SUMIFS(Registro!$J:$J,Registro!$A:$A,AL$3,Registro!$F:$F,$A15))</f>
        <v/>
      </c>
      <c r="AM15" s="17" t="str">
        <f aca="false">IF(SUMIFS(Registro!$J:$J,Registro!$A:$A,AM$3,Registro!$F:$F,$A15)=0,"",SUMIFS(Registro!$J:$J,Registro!$A:$A,AM$3,Registro!$F:$F,$A15))</f>
        <v/>
      </c>
      <c r="AN15" s="17" t="str">
        <f aca="false">IF(SUMIFS(Registro!$J:$J,Registro!$A:$A,AN$3,Registro!$F:$F,$A15)=0,"",SUMIFS(Registro!$J:$J,Registro!$A:$A,AN$3,Registro!$F:$F,$A15))</f>
        <v/>
      </c>
    </row>
    <row r="16" customFormat="false" ht="15" hidden="false" customHeight="false" outlineLevel="0" collapsed="false">
      <c r="A16" s="22" t="str">
        <f aca="false">Jugadores!$B$16</f>
        <v>Jugador 12</v>
      </c>
      <c r="B16" s="17" t="str">
        <f aca="false">IF(SUMIFS(Registro!$J:$J,Registro!$A:$A,B$3,Registro!$F:$F,$A16)=0,"",SUMIFS(Registro!$J:$J,Registro!$A:$A,B$3,Registro!$F:$F,$A16))</f>
        <v/>
      </c>
      <c r="C16" s="17" t="str">
        <f aca="false">IF(SUMIFS(Registro!$J:$J,Registro!$A:$A,C$3,Registro!$F:$F,$A16)=0,"",SUMIFS(Registro!$J:$J,Registro!$A:$A,C$3,Registro!$F:$F,$A16))</f>
        <v/>
      </c>
      <c r="D16" s="17" t="str">
        <f aca="false">IF(SUMIFS(Registro!$J:$J,Registro!$A:$A,D$3,Registro!$F:$F,$A16)=0,"",SUMIFS(Registro!$J:$J,Registro!$A:$A,D$3,Registro!$F:$F,$A16))</f>
        <v/>
      </c>
      <c r="E16" s="17" t="str">
        <f aca="false">IF(SUMIFS(Registro!$J:$J,Registro!$A:$A,E$3,Registro!$F:$F,$A16)=0,"",SUMIFS(Registro!$J:$J,Registro!$A:$A,E$3,Registro!$F:$F,$A16))</f>
        <v/>
      </c>
      <c r="F16" s="17" t="str">
        <f aca="false">IF(SUMIFS(Registro!$J:$J,Registro!$A:$A,F$3,Registro!$F:$F,$A16)=0,"",SUMIFS(Registro!$J:$J,Registro!$A:$A,F$3,Registro!$F:$F,$A16))</f>
        <v/>
      </c>
      <c r="G16" s="17" t="str">
        <f aca="false">IF(SUMIFS(Registro!$J:$J,Registro!$A:$A,G$3,Registro!$F:$F,$A16)=0,"",SUMIFS(Registro!$J:$J,Registro!$A:$A,G$3,Registro!$F:$F,$A16))</f>
        <v/>
      </c>
      <c r="H16" s="17" t="str">
        <f aca="false">IF(SUMIFS(Registro!$J:$J,Registro!$A:$A,H$3,Registro!$F:$F,$A16)=0,"",SUMIFS(Registro!$J:$J,Registro!$A:$A,H$3,Registro!$F:$F,$A16))</f>
        <v/>
      </c>
      <c r="I16" s="17" t="str">
        <f aca="false">IF(SUMIFS(Registro!$J:$J,Registro!$A:$A,I$3,Registro!$F:$F,$A16)=0,"",SUMIFS(Registro!$J:$J,Registro!$A:$A,I$3,Registro!$F:$F,$A16))</f>
        <v/>
      </c>
      <c r="J16" s="17" t="str">
        <f aca="false">IF(SUMIFS(Registro!$J:$J,Registro!$A:$A,J$3,Registro!$F:$F,$A16)=0,"",SUMIFS(Registro!$J:$J,Registro!$A:$A,J$3,Registro!$F:$F,$A16))</f>
        <v/>
      </c>
      <c r="K16" s="17" t="str">
        <f aca="false">IF(SUMIFS(Registro!$J:$J,Registro!$A:$A,K$3,Registro!$F:$F,$A16)=0,"",SUMIFS(Registro!$J:$J,Registro!$A:$A,K$3,Registro!$F:$F,$A16))</f>
        <v/>
      </c>
      <c r="L16" s="17" t="str">
        <f aca="false">IF(SUMIFS(Registro!$J:$J,Registro!$A:$A,L$3,Registro!$F:$F,$A16)=0,"",SUMIFS(Registro!$J:$J,Registro!$A:$A,L$3,Registro!$F:$F,$A16))</f>
        <v/>
      </c>
      <c r="M16" s="17" t="str">
        <f aca="false">IF(SUMIFS(Registro!$J:$J,Registro!$A:$A,M$3,Registro!$F:$F,$A16)=0,"",SUMIFS(Registro!$J:$J,Registro!$A:$A,M$3,Registro!$F:$F,$A16))</f>
        <v/>
      </c>
      <c r="N16" s="17" t="str">
        <f aca="false">IF(SUMIFS(Registro!$J:$J,Registro!$A:$A,N$3,Registro!$F:$F,$A16)=0,"",SUMIFS(Registro!$J:$J,Registro!$A:$A,N$3,Registro!$F:$F,$A16))</f>
        <v/>
      </c>
      <c r="O16" s="17" t="str">
        <f aca="false">IF(SUMIFS(Registro!$J:$J,Registro!$A:$A,O$3,Registro!$F:$F,$A16)=0,"",SUMIFS(Registro!$J:$J,Registro!$A:$A,O$3,Registro!$F:$F,$A16))</f>
        <v/>
      </c>
      <c r="P16" s="17" t="str">
        <f aca="false">IF(SUMIFS(Registro!$J:$J,Registro!$A:$A,P$3,Registro!$F:$F,$A16)=0,"",SUMIFS(Registro!$J:$J,Registro!$A:$A,P$3,Registro!$F:$F,$A16))</f>
        <v/>
      </c>
      <c r="Q16" s="17" t="str">
        <f aca="false">IF(SUMIFS(Registro!$J:$J,Registro!$A:$A,Q$3,Registro!$F:$F,$A16)=0,"",SUMIFS(Registro!$J:$J,Registro!$A:$A,Q$3,Registro!$F:$F,$A16))</f>
        <v/>
      </c>
      <c r="R16" s="17" t="str">
        <f aca="false">IF(SUMIFS(Registro!$J:$J,Registro!$A:$A,R$3,Registro!$F:$F,$A16)=0,"",SUMIFS(Registro!$J:$J,Registro!$A:$A,R$3,Registro!$F:$F,$A16))</f>
        <v/>
      </c>
      <c r="S16" s="17" t="str">
        <f aca="false">IF(SUMIFS(Registro!$J:$J,Registro!$A:$A,S$3,Registro!$F:$F,$A16)=0,"",SUMIFS(Registro!$J:$J,Registro!$A:$A,S$3,Registro!$F:$F,$A16))</f>
        <v/>
      </c>
      <c r="T16" s="17" t="str">
        <f aca="false">IF(SUMIFS(Registro!$J:$J,Registro!$A:$A,T$3,Registro!$F:$F,$A16)=0,"",SUMIFS(Registro!$J:$J,Registro!$A:$A,T$3,Registro!$F:$F,$A16))</f>
        <v/>
      </c>
      <c r="U16" s="17" t="str">
        <f aca="false">IF(SUMIFS(Registro!$J:$J,Registro!$A:$A,U$3,Registro!$F:$F,$A16)=0,"",SUMIFS(Registro!$J:$J,Registro!$A:$A,U$3,Registro!$F:$F,$A16))</f>
        <v/>
      </c>
      <c r="V16" s="17" t="str">
        <f aca="false">IF(SUMIFS(Registro!$J:$J,Registro!$A:$A,V$3,Registro!$F:$F,$A16)=0,"",SUMIFS(Registro!$J:$J,Registro!$A:$A,V$3,Registro!$F:$F,$A16))</f>
        <v/>
      </c>
      <c r="W16" s="17" t="str">
        <f aca="false">IF(SUMIFS(Registro!$J:$J,Registro!$A:$A,W$3,Registro!$F:$F,$A16)=0,"",SUMIFS(Registro!$J:$J,Registro!$A:$A,W$3,Registro!$F:$F,$A16))</f>
        <v/>
      </c>
      <c r="X16" s="17" t="str">
        <f aca="false">IF(SUMIFS(Registro!$J:$J,Registro!$A:$A,X$3,Registro!$F:$F,$A16)=0,"",SUMIFS(Registro!$J:$J,Registro!$A:$A,X$3,Registro!$F:$F,$A16))</f>
        <v/>
      </c>
      <c r="Y16" s="17" t="str">
        <f aca="false">IF(SUMIFS(Registro!$J:$J,Registro!$A:$A,Y$3,Registro!$F:$F,$A16)=0,"",SUMIFS(Registro!$J:$J,Registro!$A:$A,Y$3,Registro!$F:$F,$A16))</f>
        <v/>
      </c>
      <c r="Z16" s="17" t="str">
        <f aca="false">IF(SUMIFS(Registro!$J:$J,Registro!$A:$A,Z$3,Registro!$F:$F,$A16)=0,"",SUMIFS(Registro!$J:$J,Registro!$A:$A,Z$3,Registro!$F:$F,$A16))</f>
        <v/>
      </c>
      <c r="AA16" s="17" t="str">
        <f aca="false">IF(SUMIFS(Registro!$J:$J,Registro!$A:$A,AA$3,Registro!$F:$F,$A16)=0,"",SUMIFS(Registro!$J:$J,Registro!$A:$A,AA$3,Registro!$F:$F,$A16))</f>
        <v/>
      </c>
      <c r="AB16" s="17" t="str">
        <f aca="false">IF(SUMIFS(Registro!$J:$J,Registro!$A:$A,AB$3,Registro!$F:$F,$A16)=0,"",SUMIFS(Registro!$J:$J,Registro!$A:$A,AB$3,Registro!$F:$F,$A16))</f>
        <v/>
      </c>
      <c r="AC16" s="17" t="str">
        <f aca="false">IF(SUMIFS(Registro!$J:$J,Registro!$A:$A,AC$3,Registro!$F:$F,$A16)=0,"",SUMIFS(Registro!$J:$J,Registro!$A:$A,AC$3,Registro!$F:$F,$A16))</f>
        <v/>
      </c>
      <c r="AD16" s="17" t="str">
        <f aca="false">IF(SUMIFS(Registro!$J:$J,Registro!$A:$A,AD$3,Registro!$F:$F,$A16)=0,"",SUMIFS(Registro!$J:$J,Registro!$A:$A,AD$3,Registro!$F:$F,$A16))</f>
        <v/>
      </c>
      <c r="AE16" s="17" t="str">
        <f aca="false">IF(SUMIFS(Registro!$J:$J,Registro!$A:$A,AE$3,Registro!$F:$F,$A16)=0,"",SUMIFS(Registro!$J:$J,Registro!$A:$A,AE$3,Registro!$F:$F,$A16))</f>
        <v/>
      </c>
      <c r="AF16" s="17" t="str">
        <f aca="false">IF(SUMIFS(Registro!$J:$J,Registro!$A:$A,AF$3,Registro!$F:$F,$A16)=0,"",SUMIFS(Registro!$J:$J,Registro!$A:$A,AF$3,Registro!$F:$F,$A16))</f>
        <v/>
      </c>
      <c r="AG16" s="17" t="str">
        <f aca="false">IF(SUMIFS(Registro!$J:$J,Registro!$A:$A,AG$3,Registro!$F:$F,$A16)=0,"",SUMIFS(Registro!$J:$J,Registro!$A:$A,AG$3,Registro!$F:$F,$A16))</f>
        <v/>
      </c>
      <c r="AH16" s="17" t="str">
        <f aca="false">IF(SUMIFS(Registro!$J:$J,Registro!$A:$A,AH$3,Registro!$F:$F,$A16)=0,"",SUMIFS(Registro!$J:$J,Registro!$A:$A,AH$3,Registro!$F:$F,$A16))</f>
        <v/>
      </c>
      <c r="AI16" s="17" t="str">
        <f aca="false">IF(SUMIFS(Registro!$J:$J,Registro!$A:$A,AI$3,Registro!$F:$F,$A16)=0,"",SUMIFS(Registro!$J:$J,Registro!$A:$A,AI$3,Registro!$F:$F,$A16))</f>
        <v/>
      </c>
      <c r="AJ16" s="17" t="str">
        <f aca="false">IF(SUMIFS(Registro!$J:$J,Registro!$A:$A,AJ$3,Registro!$F:$F,$A16)=0,"",SUMIFS(Registro!$J:$J,Registro!$A:$A,AJ$3,Registro!$F:$F,$A16))</f>
        <v/>
      </c>
      <c r="AK16" s="17" t="str">
        <f aca="false">IF(SUMIFS(Registro!$J:$J,Registro!$A:$A,AK$3,Registro!$F:$F,$A16)=0,"",SUMIFS(Registro!$J:$J,Registro!$A:$A,AK$3,Registro!$F:$F,$A16))</f>
        <v/>
      </c>
      <c r="AL16" s="17" t="str">
        <f aca="false">IF(SUMIFS(Registro!$J:$J,Registro!$A:$A,AL$3,Registro!$F:$F,$A16)=0,"",SUMIFS(Registro!$J:$J,Registro!$A:$A,AL$3,Registro!$F:$F,$A16))</f>
        <v/>
      </c>
      <c r="AM16" s="17" t="str">
        <f aca="false">IF(SUMIFS(Registro!$J:$J,Registro!$A:$A,AM$3,Registro!$F:$F,$A16)=0,"",SUMIFS(Registro!$J:$J,Registro!$A:$A,AM$3,Registro!$F:$F,$A16))</f>
        <v/>
      </c>
      <c r="AN16" s="17" t="str">
        <f aca="false">IF(SUMIFS(Registro!$J:$J,Registro!$A:$A,AN$3,Registro!$F:$F,$A16)=0,"",SUMIFS(Registro!$J:$J,Registro!$A:$A,AN$3,Registro!$F:$F,$A16))</f>
        <v/>
      </c>
    </row>
    <row r="17" customFormat="false" ht="15" hidden="false" customHeight="false" outlineLevel="0" collapsed="false">
      <c r="A17" s="22" t="str">
        <f aca="false">Jugadores!$B$17</f>
        <v>Jugador 13</v>
      </c>
      <c r="B17" s="17" t="str">
        <f aca="false">IF(SUMIFS(Registro!$J:$J,Registro!$A:$A,B$3,Registro!$F:$F,$A17)=0,"",SUMIFS(Registro!$J:$J,Registro!$A:$A,B$3,Registro!$F:$F,$A17))</f>
        <v/>
      </c>
      <c r="C17" s="17" t="str">
        <f aca="false">IF(SUMIFS(Registro!$J:$J,Registro!$A:$A,C$3,Registro!$F:$F,$A17)=0,"",SUMIFS(Registro!$J:$J,Registro!$A:$A,C$3,Registro!$F:$F,$A17))</f>
        <v/>
      </c>
      <c r="D17" s="17" t="str">
        <f aca="false">IF(SUMIFS(Registro!$J:$J,Registro!$A:$A,D$3,Registro!$F:$F,$A17)=0,"",SUMIFS(Registro!$J:$J,Registro!$A:$A,D$3,Registro!$F:$F,$A17))</f>
        <v/>
      </c>
      <c r="E17" s="17" t="str">
        <f aca="false">IF(SUMIFS(Registro!$J:$J,Registro!$A:$A,E$3,Registro!$F:$F,$A17)=0,"",SUMIFS(Registro!$J:$J,Registro!$A:$A,E$3,Registro!$F:$F,$A17))</f>
        <v/>
      </c>
      <c r="F17" s="17" t="str">
        <f aca="false">IF(SUMIFS(Registro!$J:$J,Registro!$A:$A,F$3,Registro!$F:$F,$A17)=0,"",SUMIFS(Registro!$J:$J,Registro!$A:$A,F$3,Registro!$F:$F,$A17))</f>
        <v/>
      </c>
      <c r="G17" s="17" t="str">
        <f aca="false">IF(SUMIFS(Registro!$J:$J,Registro!$A:$A,G$3,Registro!$F:$F,$A17)=0,"",SUMIFS(Registro!$J:$J,Registro!$A:$A,G$3,Registro!$F:$F,$A17))</f>
        <v/>
      </c>
      <c r="H17" s="17" t="str">
        <f aca="false">IF(SUMIFS(Registro!$J:$J,Registro!$A:$A,H$3,Registro!$F:$F,$A17)=0,"",SUMIFS(Registro!$J:$J,Registro!$A:$A,H$3,Registro!$F:$F,$A17))</f>
        <v/>
      </c>
      <c r="I17" s="17" t="str">
        <f aca="false">IF(SUMIFS(Registro!$J:$J,Registro!$A:$A,I$3,Registro!$F:$F,$A17)=0,"",SUMIFS(Registro!$J:$J,Registro!$A:$A,I$3,Registro!$F:$F,$A17))</f>
        <v/>
      </c>
      <c r="J17" s="17" t="str">
        <f aca="false">IF(SUMIFS(Registro!$J:$J,Registro!$A:$A,J$3,Registro!$F:$F,$A17)=0,"",SUMIFS(Registro!$J:$J,Registro!$A:$A,J$3,Registro!$F:$F,$A17))</f>
        <v/>
      </c>
      <c r="K17" s="17" t="str">
        <f aca="false">IF(SUMIFS(Registro!$J:$J,Registro!$A:$A,K$3,Registro!$F:$F,$A17)=0,"",SUMIFS(Registro!$J:$J,Registro!$A:$A,K$3,Registro!$F:$F,$A17))</f>
        <v/>
      </c>
      <c r="L17" s="17" t="str">
        <f aca="false">IF(SUMIFS(Registro!$J:$J,Registro!$A:$A,L$3,Registro!$F:$F,$A17)=0,"",SUMIFS(Registro!$J:$J,Registro!$A:$A,L$3,Registro!$F:$F,$A17))</f>
        <v/>
      </c>
      <c r="M17" s="17" t="str">
        <f aca="false">IF(SUMIFS(Registro!$J:$J,Registro!$A:$A,M$3,Registro!$F:$F,$A17)=0,"",SUMIFS(Registro!$J:$J,Registro!$A:$A,M$3,Registro!$F:$F,$A17))</f>
        <v/>
      </c>
      <c r="N17" s="17" t="str">
        <f aca="false">IF(SUMIFS(Registro!$J:$J,Registro!$A:$A,N$3,Registro!$F:$F,$A17)=0,"",SUMIFS(Registro!$J:$J,Registro!$A:$A,N$3,Registro!$F:$F,$A17))</f>
        <v/>
      </c>
      <c r="O17" s="17" t="str">
        <f aca="false">IF(SUMIFS(Registro!$J:$J,Registro!$A:$A,O$3,Registro!$F:$F,$A17)=0,"",SUMIFS(Registro!$J:$J,Registro!$A:$A,O$3,Registro!$F:$F,$A17))</f>
        <v/>
      </c>
      <c r="P17" s="17" t="str">
        <f aca="false">IF(SUMIFS(Registro!$J:$J,Registro!$A:$A,P$3,Registro!$F:$F,$A17)=0,"",SUMIFS(Registro!$J:$J,Registro!$A:$A,P$3,Registro!$F:$F,$A17))</f>
        <v/>
      </c>
      <c r="Q17" s="17" t="str">
        <f aca="false">IF(SUMIFS(Registro!$J:$J,Registro!$A:$A,Q$3,Registro!$F:$F,$A17)=0,"",SUMIFS(Registro!$J:$J,Registro!$A:$A,Q$3,Registro!$F:$F,$A17))</f>
        <v/>
      </c>
      <c r="R17" s="17" t="str">
        <f aca="false">IF(SUMIFS(Registro!$J:$J,Registro!$A:$A,R$3,Registro!$F:$F,$A17)=0,"",SUMIFS(Registro!$J:$J,Registro!$A:$A,R$3,Registro!$F:$F,$A17))</f>
        <v/>
      </c>
      <c r="S17" s="17" t="str">
        <f aca="false">IF(SUMIFS(Registro!$J:$J,Registro!$A:$A,S$3,Registro!$F:$F,$A17)=0,"",SUMIFS(Registro!$J:$J,Registro!$A:$A,S$3,Registro!$F:$F,$A17))</f>
        <v/>
      </c>
      <c r="T17" s="17" t="str">
        <f aca="false">IF(SUMIFS(Registro!$J:$J,Registro!$A:$A,T$3,Registro!$F:$F,$A17)=0,"",SUMIFS(Registro!$J:$J,Registro!$A:$A,T$3,Registro!$F:$F,$A17))</f>
        <v/>
      </c>
      <c r="U17" s="17" t="str">
        <f aca="false">IF(SUMIFS(Registro!$J:$J,Registro!$A:$A,U$3,Registro!$F:$F,$A17)=0,"",SUMIFS(Registro!$J:$J,Registro!$A:$A,U$3,Registro!$F:$F,$A17))</f>
        <v/>
      </c>
      <c r="V17" s="17" t="str">
        <f aca="false">IF(SUMIFS(Registro!$J:$J,Registro!$A:$A,V$3,Registro!$F:$F,$A17)=0,"",SUMIFS(Registro!$J:$J,Registro!$A:$A,V$3,Registro!$F:$F,$A17))</f>
        <v/>
      </c>
      <c r="W17" s="17" t="str">
        <f aca="false">IF(SUMIFS(Registro!$J:$J,Registro!$A:$A,W$3,Registro!$F:$F,$A17)=0,"",SUMIFS(Registro!$J:$J,Registro!$A:$A,W$3,Registro!$F:$F,$A17))</f>
        <v/>
      </c>
      <c r="X17" s="17" t="str">
        <f aca="false">IF(SUMIFS(Registro!$J:$J,Registro!$A:$A,X$3,Registro!$F:$F,$A17)=0,"",SUMIFS(Registro!$J:$J,Registro!$A:$A,X$3,Registro!$F:$F,$A17))</f>
        <v/>
      </c>
      <c r="Y17" s="17" t="str">
        <f aca="false">IF(SUMIFS(Registro!$J:$J,Registro!$A:$A,Y$3,Registro!$F:$F,$A17)=0,"",SUMIFS(Registro!$J:$J,Registro!$A:$A,Y$3,Registro!$F:$F,$A17))</f>
        <v/>
      </c>
      <c r="Z17" s="17" t="str">
        <f aca="false">IF(SUMIFS(Registro!$J:$J,Registro!$A:$A,Z$3,Registro!$F:$F,$A17)=0,"",SUMIFS(Registro!$J:$J,Registro!$A:$A,Z$3,Registro!$F:$F,$A17))</f>
        <v/>
      </c>
      <c r="AA17" s="17" t="str">
        <f aca="false">IF(SUMIFS(Registro!$J:$J,Registro!$A:$A,AA$3,Registro!$F:$F,$A17)=0,"",SUMIFS(Registro!$J:$J,Registro!$A:$A,AA$3,Registro!$F:$F,$A17))</f>
        <v/>
      </c>
      <c r="AB17" s="17" t="str">
        <f aca="false">IF(SUMIFS(Registro!$J:$J,Registro!$A:$A,AB$3,Registro!$F:$F,$A17)=0,"",SUMIFS(Registro!$J:$J,Registro!$A:$A,AB$3,Registro!$F:$F,$A17))</f>
        <v/>
      </c>
      <c r="AC17" s="17" t="str">
        <f aca="false">IF(SUMIFS(Registro!$J:$J,Registro!$A:$A,AC$3,Registro!$F:$F,$A17)=0,"",SUMIFS(Registro!$J:$J,Registro!$A:$A,AC$3,Registro!$F:$F,$A17))</f>
        <v/>
      </c>
      <c r="AD17" s="17" t="str">
        <f aca="false">IF(SUMIFS(Registro!$J:$J,Registro!$A:$A,AD$3,Registro!$F:$F,$A17)=0,"",SUMIFS(Registro!$J:$J,Registro!$A:$A,AD$3,Registro!$F:$F,$A17))</f>
        <v/>
      </c>
      <c r="AE17" s="17" t="str">
        <f aca="false">IF(SUMIFS(Registro!$J:$J,Registro!$A:$A,AE$3,Registro!$F:$F,$A17)=0,"",SUMIFS(Registro!$J:$J,Registro!$A:$A,AE$3,Registro!$F:$F,$A17))</f>
        <v/>
      </c>
      <c r="AF17" s="17" t="str">
        <f aca="false">IF(SUMIFS(Registro!$J:$J,Registro!$A:$A,AF$3,Registro!$F:$F,$A17)=0,"",SUMIFS(Registro!$J:$J,Registro!$A:$A,AF$3,Registro!$F:$F,$A17))</f>
        <v/>
      </c>
      <c r="AG17" s="17" t="str">
        <f aca="false">IF(SUMIFS(Registro!$J:$J,Registro!$A:$A,AG$3,Registro!$F:$F,$A17)=0,"",SUMIFS(Registro!$J:$J,Registro!$A:$A,AG$3,Registro!$F:$F,$A17))</f>
        <v/>
      </c>
      <c r="AH17" s="17" t="str">
        <f aca="false">IF(SUMIFS(Registro!$J:$J,Registro!$A:$A,AH$3,Registro!$F:$F,$A17)=0,"",SUMIFS(Registro!$J:$J,Registro!$A:$A,AH$3,Registro!$F:$F,$A17))</f>
        <v/>
      </c>
      <c r="AI17" s="17" t="str">
        <f aca="false">IF(SUMIFS(Registro!$J:$J,Registro!$A:$A,AI$3,Registro!$F:$F,$A17)=0,"",SUMIFS(Registro!$J:$J,Registro!$A:$A,AI$3,Registro!$F:$F,$A17))</f>
        <v/>
      </c>
      <c r="AJ17" s="17" t="str">
        <f aca="false">IF(SUMIFS(Registro!$J:$J,Registro!$A:$A,AJ$3,Registro!$F:$F,$A17)=0,"",SUMIFS(Registro!$J:$J,Registro!$A:$A,AJ$3,Registro!$F:$F,$A17))</f>
        <v/>
      </c>
      <c r="AK17" s="17" t="str">
        <f aca="false">IF(SUMIFS(Registro!$J:$J,Registro!$A:$A,AK$3,Registro!$F:$F,$A17)=0,"",SUMIFS(Registro!$J:$J,Registro!$A:$A,AK$3,Registro!$F:$F,$A17))</f>
        <v/>
      </c>
      <c r="AL17" s="17" t="str">
        <f aca="false">IF(SUMIFS(Registro!$J:$J,Registro!$A:$A,AL$3,Registro!$F:$F,$A17)=0,"",SUMIFS(Registro!$J:$J,Registro!$A:$A,AL$3,Registro!$F:$F,$A17))</f>
        <v/>
      </c>
      <c r="AM17" s="17" t="str">
        <f aca="false">IF(SUMIFS(Registro!$J:$J,Registro!$A:$A,AM$3,Registro!$F:$F,$A17)=0,"",SUMIFS(Registro!$J:$J,Registro!$A:$A,AM$3,Registro!$F:$F,$A17))</f>
        <v/>
      </c>
      <c r="AN17" s="17" t="str">
        <f aca="false">IF(SUMIFS(Registro!$J:$J,Registro!$A:$A,AN$3,Registro!$F:$F,$A17)=0,"",SUMIFS(Registro!$J:$J,Registro!$A:$A,AN$3,Registro!$F:$F,$A17))</f>
        <v/>
      </c>
    </row>
    <row r="18" customFormat="false" ht="15" hidden="false" customHeight="false" outlineLevel="0" collapsed="false">
      <c r="A18" s="22" t="str">
        <f aca="false">Jugadores!$B$18</f>
        <v>Jugador 14</v>
      </c>
      <c r="B18" s="17" t="str">
        <f aca="false">IF(SUMIFS(Registro!$J:$J,Registro!$A:$A,B$3,Registro!$F:$F,$A18)=0,"",SUMIFS(Registro!$J:$J,Registro!$A:$A,B$3,Registro!$F:$F,$A18))</f>
        <v/>
      </c>
      <c r="C18" s="17" t="str">
        <f aca="false">IF(SUMIFS(Registro!$J:$J,Registro!$A:$A,C$3,Registro!$F:$F,$A18)=0,"",SUMIFS(Registro!$J:$J,Registro!$A:$A,C$3,Registro!$F:$F,$A18))</f>
        <v/>
      </c>
      <c r="D18" s="17" t="str">
        <f aca="false">IF(SUMIFS(Registro!$J:$J,Registro!$A:$A,D$3,Registro!$F:$F,$A18)=0,"",SUMIFS(Registro!$J:$J,Registro!$A:$A,D$3,Registro!$F:$F,$A18))</f>
        <v/>
      </c>
      <c r="E18" s="17" t="str">
        <f aca="false">IF(SUMIFS(Registro!$J:$J,Registro!$A:$A,E$3,Registro!$F:$F,$A18)=0,"",SUMIFS(Registro!$J:$J,Registro!$A:$A,E$3,Registro!$F:$F,$A18))</f>
        <v/>
      </c>
      <c r="F18" s="17" t="str">
        <f aca="false">IF(SUMIFS(Registro!$J:$J,Registro!$A:$A,F$3,Registro!$F:$F,$A18)=0,"",SUMIFS(Registro!$J:$J,Registro!$A:$A,F$3,Registro!$F:$F,$A18))</f>
        <v/>
      </c>
      <c r="G18" s="17" t="str">
        <f aca="false">IF(SUMIFS(Registro!$J:$J,Registro!$A:$A,G$3,Registro!$F:$F,$A18)=0,"",SUMIFS(Registro!$J:$J,Registro!$A:$A,G$3,Registro!$F:$F,$A18))</f>
        <v/>
      </c>
      <c r="H18" s="17" t="str">
        <f aca="false">IF(SUMIFS(Registro!$J:$J,Registro!$A:$A,H$3,Registro!$F:$F,$A18)=0,"",SUMIFS(Registro!$J:$J,Registro!$A:$A,H$3,Registro!$F:$F,$A18))</f>
        <v/>
      </c>
      <c r="I18" s="17" t="str">
        <f aca="false">IF(SUMIFS(Registro!$J:$J,Registro!$A:$A,I$3,Registro!$F:$F,$A18)=0,"",SUMIFS(Registro!$J:$J,Registro!$A:$A,I$3,Registro!$F:$F,$A18))</f>
        <v/>
      </c>
      <c r="J18" s="17" t="str">
        <f aca="false">IF(SUMIFS(Registro!$J:$J,Registro!$A:$A,J$3,Registro!$F:$F,$A18)=0,"",SUMIFS(Registro!$J:$J,Registro!$A:$A,J$3,Registro!$F:$F,$A18))</f>
        <v/>
      </c>
      <c r="K18" s="17" t="str">
        <f aca="false">IF(SUMIFS(Registro!$J:$J,Registro!$A:$A,K$3,Registro!$F:$F,$A18)=0,"",SUMIFS(Registro!$J:$J,Registro!$A:$A,K$3,Registro!$F:$F,$A18))</f>
        <v/>
      </c>
      <c r="L18" s="17" t="str">
        <f aca="false">IF(SUMIFS(Registro!$J:$J,Registro!$A:$A,L$3,Registro!$F:$F,$A18)=0,"",SUMIFS(Registro!$J:$J,Registro!$A:$A,L$3,Registro!$F:$F,$A18))</f>
        <v/>
      </c>
      <c r="M18" s="17" t="str">
        <f aca="false">IF(SUMIFS(Registro!$J:$J,Registro!$A:$A,M$3,Registro!$F:$F,$A18)=0,"",SUMIFS(Registro!$J:$J,Registro!$A:$A,M$3,Registro!$F:$F,$A18))</f>
        <v/>
      </c>
      <c r="N18" s="17" t="str">
        <f aca="false">IF(SUMIFS(Registro!$J:$J,Registro!$A:$A,N$3,Registro!$F:$F,$A18)=0,"",SUMIFS(Registro!$J:$J,Registro!$A:$A,N$3,Registro!$F:$F,$A18))</f>
        <v/>
      </c>
      <c r="O18" s="17" t="str">
        <f aca="false">IF(SUMIFS(Registro!$J:$J,Registro!$A:$A,O$3,Registro!$F:$F,$A18)=0,"",SUMIFS(Registro!$J:$J,Registro!$A:$A,O$3,Registro!$F:$F,$A18))</f>
        <v/>
      </c>
      <c r="P18" s="17" t="str">
        <f aca="false">IF(SUMIFS(Registro!$J:$J,Registro!$A:$A,P$3,Registro!$F:$F,$A18)=0,"",SUMIFS(Registro!$J:$J,Registro!$A:$A,P$3,Registro!$F:$F,$A18))</f>
        <v/>
      </c>
      <c r="Q18" s="17" t="str">
        <f aca="false">IF(SUMIFS(Registro!$J:$J,Registro!$A:$A,Q$3,Registro!$F:$F,$A18)=0,"",SUMIFS(Registro!$J:$J,Registro!$A:$A,Q$3,Registro!$F:$F,$A18))</f>
        <v/>
      </c>
      <c r="R18" s="17" t="str">
        <f aca="false">IF(SUMIFS(Registro!$J:$J,Registro!$A:$A,R$3,Registro!$F:$F,$A18)=0,"",SUMIFS(Registro!$J:$J,Registro!$A:$A,R$3,Registro!$F:$F,$A18))</f>
        <v/>
      </c>
      <c r="S18" s="17" t="str">
        <f aca="false">IF(SUMIFS(Registro!$J:$J,Registro!$A:$A,S$3,Registro!$F:$F,$A18)=0,"",SUMIFS(Registro!$J:$J,Registro!$A:$A,S$3,Registro!$F:$F,$A18))</f>
        <v/>
      </c>
      <c r="T18" s="17" t="str">
        <f aca="false">IF(SUMIFS(Registro!$J:$J,Registro!$A:$A,T$3,Registro!$F:$F,$A18)=0,"",SUMIFS(Registro!$J:$J,Registro!$A:$A,T$3,Registro!$F:$F,$A18))</f>
        <v/>
      </c>
      <c r="U18" s="17" t="str">
        <f aca="false">IF(SUMIFS(Registro!$J:$J,Registro!$A:$A,U$3,Registro!$F:$F,$A18)=0,"",SUMIFS(Registro!$J:$J,Registro!$A:$A,U$3,Registro!$F:$F,$A18))</f>
        <v/>
      </c>
      <c r="V18" s="17" t="str">
        <f aca="false">IF(SUMIFS(Registro!$J:$J,Registro!$A:$A,V$3,Registro!$F:$F,$A18)=0,"",SUMIFS(Registro!$J:$J,Registro!$A:$A,V$3,Registro!$F:$F,$A18))</f>
        <v/>
      </c>
      <c r="W18" s="17" t="str">
        <f aca="false">IF(SUMIFS(Registro!$J:$J,Registro!$A:$A,W$3,Registro!$F:$F,$A18)=0,"",SUMIFS(Registro!$J:$J,Registro!$A:$A,W$3,Registro!$F:$F,$A18))</f>
        <v/>
      </c>
      <c r="X18" s="17" t="str">
        <f aca="false">IF(SUMIFS(Registro!$J:$J,Registro!$A:$A,X$3,Registro!$F:$F,$A18)=0,"",SUMIFS(Registro!$J:$J,Registro!$A:$A,X$3,Registro!$F:$F,$A18))</f>
        <v/>
      </c>
      <c r="Y18" s="17" t="str">
        <f aca="false">IF(SUMIFS(Registro!$J:$J,Registro!$A:$A,Y$3,Registro!$F:$F,$A18)=0,"",SUMIFS(Registro!$J:$J,Registro!$A:$A,Y$3,Registro!$F:$F,$A18))</f>
        <v/>
      </c>
      <c r="Z18" s="17" t="str">
        <f aca="false">IF(SUMIFS(Registro!$J:$J,Registro!$A:$A,Z$3,Registro!$F:$F,$A18)=0,"",SUMIFS(Registro!$J:$J,Registro!$A:$A,Z$3,Registro!$F:$F,$A18))</f>
        <v/>
      </c>
      <c r="AA18" s="17" t="str">
        <f aca="false">IF(SUMIFS(Registro!$J:$J,Registro!$A:$A,AA$3,Registro!$F:$F,$A18)=0,"",SUMIFS(Registro!$J:$J,Registro!$A:$A,AA$3,Registro!$F:$F,$A18))</f>
        <v/>
      </c>
      <c r="AB18" s="17" t="str">
        <f aca="false">IF(SUMIFS(Registro!$J:$J,Registro!$A:$A,AB$3,Registro!$F:$F,$A18)=0,"",SUMIFS(Registro!$J:$J,Registro!$A:$A,AB$3,Registro!$F:$F,$A18))</f>
        <v/>
      </c>
      <c r="AC18" s="17" t="str">
        <f aca="false">IF(SUMIFS(Registro!$J:$J,Registro!$A:$A,AC$3,Registro!$F:$F,$A18)=0,"",SUMIFS(Registro!$J:$J,Registro!$A:$A,AC$3,Registro!$F:$F,$A18))</f>
        <v/>
      </c>
      <c r="AD18" s="17" t="str">
        <f aca="false">IF(SUMIFS(Registro!$J:$J,Registro!$A:$A,AD$3,Registro!$F:$F,$A18)=0,"",SUMIFS(Registro!$J:$J,Registro!$A:$A,AD$3,Registro!$F:$F,$A18))</f>
        <v/>
      </c>
      <c r="AE18" s="17" t="str">
        <f aca="false">IF(SUMIFS(Registro!$J:$J,Registro!$A:$A,AE$3,Registro!$F:$F,$A18)=0,"",SUMIFS(Registro!$J:$J,Registro!$A:$A,AE$3,Registro!$F:$F,$A18))</f>
        <v/>
      </c>
      <c r="AF18" s="17" t="str">
        <f aca="false">IF(SUMIFS(Registro!$J:$J,Registro!$A:$A,AF$3,Registro!$F:$F,$A18)=0,"",SUMIFS(Registro!$J:$J,Registro!$A:$A,AF$3,Registro!$F:$F,$A18))</f>
        <v/>
      </c>
      <c r="AG18" s="17" t="str">
        <f aca="false">IF(SUMIFS(Registro!$J:$J,Registro!$A:$A,AG$3,Registro!$F:$F,$A18)=0,"",SUMIFS(Registro!$J:$J,Registro!$A:$A,AG$3,Registro!$F:$F,$A18))</f>
        <v/>
      </c>
      <c r="AH18" s="17" t="str">
        <f aca="false">IF(SUMIFS(Registro!$J:$J,Registro!$A:$A,AH$3,Registro!$F:$F,$A18)=0,"",SUMIFS(Registro!$J:$J,Registro!$A:$A,AH$3,Registro!$F:$F,$A18))</f>
        <v/>
      </c>
      <c r="AI18" s="17" t="str">
        <f aca="false">IF(SUMIFS(Registro!$J:$J,Registro!$A:$A,AI$3,Registro!$F:$F,$A18)=0,"",SUMIFS(Registro!$J:$J,Registro!$A:$A,AI$3,Registro!$F:$F,$A18))</f>
        <v/>
      </c>
      <c r="AJ18" s="17" t="str">
        <f aca="false">IF(SUMIFS(Registro!$J:$J,Registro!$A:$A,AJ$3,Registro!$F:$F,$A18)=0,"",SUMIFS(Registro!$J:$J,Registro!$A:$A,AJ$3,Registro!$F:$F,$A18))</f>
        <v/>
      </c>
      <c r="AK18" s="17" t="str">
        <f aca="false">IF(SUMIFS(Registro!$J:$J,Registro!$A:$A,AK$3,Registro!$F:$F,$A18)=0,"",SUMIFS(Registro!$J:$J,Registro!$A:$A,AK$3,Registro!$F:$F,$A18))</f>
        <v/>
      </c>
      <c r="AL18" s="17" t="str">
        <f aca="false">IF(SUMIFS(Registro!$J:$J,Registro!$A:$A,AL$3,Registro!$F:$F,$A18)=0,"",SUMIFS(Registro!$J:$J,Registro!$A:$A,AL$3,Registro!$F:$F,$A18))</f>
        <v/>
      </c>
      <c r="AM18" s="17" t="str">
        <f aca="false">IF(SUMIFS(Registro!$J:$J,Registro!$A:$A,AM$3,Registro!$F:$F,$A18)=0,"",SUMIFS(Registro!$J:$J,Registro!$A:$A,AM$3,Registro!$F:$F,$A18))</f>
        <v/>
      </c>
      <c r="AN18" s="17" t="str">
        <f aca="false">IF(SUMIFS(Registro!$J:$J,Registro!$A:$A,AN$3,Registro!$F:$F,$A18)=0,"",SUMIFS(Registro!$J:$J,Registro!$A:$A,AN$3,Registro!$F:$F,$A18))</f>
        <v/>
      </c>
    </row>
    <row r="20" customFormat="false" ht="15" hidden="false" customHeight="false" outlineLevel="0" collapsed="false">
      <c r="A20" s="23" t="s">
        <v>115</v>
      </c>
      <c r="B20" s="24" t="n">
        <v>6</v>
      </c>
      <c r="C20" s="24" t="n">
        <v>8</v>
      </c>
      <c r="D20" s="24" t="n">
        <v>9</v>
      </c>
      <c r="E20" s="24" t="n">
        <v>6</v>
      </c>
      <c r="F20" s="24" t="n">
        <v>10</v>
      </c>
      <c r="G20" s="24" t="n">
        <v>8</v>
      </c>
      <c r="H20" s="24" t="n">
        <v>9</v>
      </c>
      <c r="I20" s="24" t="n">
        <v>10</v>
      </c>
      <c r="J20" s="24" t="n">
        <v>7</v>
      </c>
      <c r="K20" s="24" t="n">
        <v>9</v>
      </c>
      <c r="L20" s="24" t="n">
        <v>9</v>
      </c>
      <c r="M20" s="24" t="n">
        <v>6</v>
      </c>
      <c r="N20" s="24" t="n">
        <v>9</v>
      </c>
      <c r="O20" s="24" t="n">
        <v>7</v>
      </c>
      <c r="P20" s="24" t="n">
        <v>6</v>
      </c>
      <c r="Q20" s="24" t="n">
        <v>5</v>
      </c>
      <c r="R20" s="24" t="n">
        <v>3</v>
      </c>
      <c r="S20" s="24" t="n">
        <v>5</v>
      </c>
      <c r="T20" s="24" t="n">
        <v>6</v>
      </c>
      <c r="U20" s="24" t="n">
        <v>5</v>
      </c>
      <c r="V20" s="24" t="n">
        <v>5</v>
      </c>
      <c r="W20" s="24" t="n">
        <v>6</v>
      </c>
      <c r="X20" s="24" t="n">
        <v>4</v>
      </c>
      <c r="Y20" s="24" t="n">
        <v>6</v>
      </c>
      <c r="Z20" s="24" t="n">
        <v>4</v>
      </c>
      <c r="AA20" s="24" t="n">
        <v>5</v>
      </c>
      <c r="AB20" s="24" t="n">
        <v>4</v>
      </c>
      <c r="AC20" s="24" t="n">
        <v>10</v>
      </c>
      <c r="AD20" s="24" t="n">
        <v>5</v>
      </c>
      <c r="AE20" s="24" t="n">
        <v>7</v>
      </c>
      <c r="AF20" s="24" t="n">
        <v>6</v>
      </c>
      <c r="AG20" s="24" t="n">
        <v>5</v>
      </c>
      <c r="AH20" s="24" t="n">
        <v>5</v>
      </c>
      <c r="AI20" s="24" t="n">
        <v>6</v>
      </c>
      <c r="AJ20" s="24" t="n">
        <v>4</v>
      </c>
      <c r="AK20" s="24" t="n">
        <v>4</v>
      </c>
      <c r="AL20" s="24" t="n">
        <v>4</v>
      </c>
      <c r="AM20" s="24" t="n">
        <v>3</v>
      </c>
      <c r="AN20" s="24" t="n">
        <v>3</v>
      </c>
    </row>
  </sheetData>
  <conditionalFormatting sqref="B5:AN18">
    <cfRule type="colorScale" priority="2">
      <colorScale>
        <cfvo type="min" val="0"/>
        <cfvo type="percentile" val="50"/>
        <cfvo type="max" val="0"/>
        <color rgb="FFDDEBF7"/>
        <color rgb="FF9DC3E6"/>
        <color rgb="FF1F4E7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2026-09-05T16:45:15Z</dcterms:created>
  <dc:creator>openpyxl</dc:creator>
  <dc:description/>
  <dc:language>en-US</dc:language>
  <cp:lastModifiedBy/>
  <dcterms:modified xsi:type="dcterms:W3CDTF">2026-09-05T16:45:16Z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